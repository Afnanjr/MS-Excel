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14\"/>
    </mc:Choice>
  </mc:AlternateContent>
  <xr:revisionPtr revIDLastSave="0" documentId="13_ncr:1_{E1582E58-9776-4B48-8C0A-C66A2E4778DD}" xr6:coauthVersionLast="47" xr6:coauthVersionMax="47" xr10:uidLastSave="{00000000-0000-0000-0000-000000000000}"/>
  <bookViews>
    <workbookView xWindow="-108" yWindow="-108" windowWidth="23256" windowHeight="13176" xr2:uid="{1DA2F7FE-7F7B-46A5-B034-D6B64911842D}"/>
  </bookViews>
  <sheets>
    <sheet name="Sheet2" sheetId="6" r:id="rId1"/>
    <sheet name="Table1" sheetId="5" r:id="rId2"/>
    <sheet name="Data 1" sheetId="2" r:id="rId3"/>
    <sheet name="Data 2" sheetId="3" r:id="rId4"/>
    <sheet name="Sheet1" sheetId="4" r:id="rId5"/>
  </sheets>
  <definedNames>
    <definedName name="COGS" localSheetId="3">'Data 2'!#REF!</definedName>
    <definedName name="COGS">'Data 1'!#REF!</definedName>
    <definedName name="Country" localSheetId="3">'Data 2'!#REF!</definedName>
    <definedName name="Country">'Data 1'!#REF!</definedName>
    <definedName name="Date" localSheetId="3">'Data 2'!#REF!</definedName>
    <definedName name="Date">'Data 1'!#REF!</definedName>
    <definedName name="Discount_Band" localSheetId="3">'Data 2'!$D$2:$D$706</definedName>
    <definedName name="Discount_Band">'Data 1'!$D$2:$D$706</definedName>
    <definedName name="Discounts" localSheetId="3">'Data 2'!#REF!</definedName>
    <definedName name="Discounts">'Data 1'!#REF!</definedName>
    <definedName name="ExternalData_1" localSheetId="1" hidden="1">Table1!$A$1:$K$706</definedName>
    <definedName name="Gross_Sales" localSheetId="3">'Data 2'!$G$2:$G$706</definedName>
    <definedName name="Gross_Sales">'Data 1'!$G$2:$G$706</definedName>
    <definedName name="Manufacturing_Price" localSheetId="3">'Data 2'!#REF!</definedName>
    <definedName name="Manufacturing_Price">'Data 1'!#REF!</definedName>
    <definedName name="Month_Name" localSheetId="3">'Data 2'!$J$2:$J$706</definedName>
    <definedName name="Month_Name">'Data 1'!$J$2:$J$706</definedName>
    <definedName name="Month_Number" localSheetId="3">'Data 2'!#REF!</definedName>
    <definedName name="Month_Number">'Data 1'!#REF!</definedName>
    <definedName name="Product" localSheetId="3">'Data 2'!$C$2:$C$706</definedName>
    <definedName name="Product">'Data 1'!$C$2:$C$706</definedName>
    <definedName name="Profit" localSheetId="3">'Data 2'!$I$2:$I$706</definedName>
    <definedName name="Profit">'Data 1'!$I$2:$I$706</definedName>
    <definedName name="Sale_Price" localSheetId="3">'Data 2'!$F$2:$F$706</definedName>
    <definedName name="Sale_Price">'Data 1'!$F$2:$F$706</definedName>
    <definedName name="Sales" localSheetId="3">'Data 2'!$H$2:$H$706</definedName>
    <definedName name="Sales">'Data 1'!$H$2:$H$706</definedName>
    <definedName name="Segment" localSheetId="3">'Data 2'!$A$2:$A$706</definedName>
    <definedName name="Segment">'Data 1'!$A$2:$A$706</definedName>
    <definedName name="Units_Sold" localSheetId="3">'Data 2'!$E$2:$E$706</definedName>
    <definedName name="Units_Sold">'Data 1'!$E$2:$E$706</definedName>
    <definedName name="Year" localSheetId="3">'Data 2'!$K$2:$K$706</definedName>
    <definedName name="Year">'Data 1'!$K$2:$K$706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 a="1"/>
  <c r="E3" i="4" s="1"/>
  <c r="M7" i="3" a="1"/>
  <c r="M7" i="3" s="1"/>
  <c r="M6" i="2" a="1"/>
  <c r="M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  <connection id="4" xr16:uid="{F57CDE5C-B70F-4A56-AC1F-94913E8E1A1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<sst xmlns="http://schemas.openxmlformats.org/spreadsheetml/2006/main" count="10634" uniqueCount="58">
  <si>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</si>
  <si>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</si>
  <si>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</si>
  <si>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</si>
  <si>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</si>
  <si>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</si>
  <si>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</si>
  <si>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</si>
  <si>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</si>
  <si>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</si>
  <si>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</si>
  <si>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</si>
  <si>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</si>
  <si>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</si>
  <si>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</si>
  <si>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</si>
  <si>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</si>
  <si>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</si>
  <si>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</si>
  <si>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</si>
  <si>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</si>
  <si>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</si>
  <si>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</si>
  <si>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</si>
  <si>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</si>
  <si>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</si>
  <si>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</si>
  <si>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</si>
  <si>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</si>
  <si>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</si>
  <si>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</si>
  <si>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Profit</t>
  </si>
  <si>
    <t xml:space="preserve"> Sales</t>
  </si>
  <si>
    <t>Gross Sales</t>
  </si>
  <si>
    <t>Sale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</si>
  <si>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</si>
  <si>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</si>
  <si>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</si>
  <si>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</si>
  <si>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</si>
  <si>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</si>
  <si>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</si>
  <si>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</si>
  <si>
    <t xml:space="preserve">Country </t>
  </si>
  <si>
    <t>Data 1</t>
  </si>
  <si>
    <t>Data 2</t>
  </si>
  <si>
    <t>A</t>
  </si>
  <si>
    <t>Data 3</t>
  </si>
  <si>
    <t>C</t>
  </si>
  <si>
    <t>B</t>
  </si>
  <si>
    <t>D</t>
  </si>
  <si>
    <t>Sum of Sale Price</t>
  </si>
  <si>
    <t>Count of Sale Price2</t>
  </si>
  <si>
    <t>Average of Sale Price3</t>
  </si>
  <si>
    <t>Filter</t>
  </si>
  <si>
    <t>Consolidate</t>
  </si>
  <si>
    <t>Slicer</t>
  </si>
  <si>
    <t xml:space="preserve">Pivot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</si>
</sst>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fshir Kabir Khan" refreshedDate="45551.953065972222" createdVersion="8" refreshedVersion="8" minRefreshableVersion="3" recordCount="705" xr:uid="{9E806686-574A-4813-97A3-7F9A83A83342}">
  <cacheSource type="worksheet">
    <worksheetSource name="info"/>
  </cacheSource>
  <cacheFields count="11">
    <cacheField name="Segment" numFmtId="0">
      <sharedItems/>
    </cacheField>
    <cacheField name="Country" numFmtId="0">
      <sharedItems count="5">
        <s v="Germany"/>
        <s v="France"/>
        <s v="Mexico"/>
        <s v="Canada"/>
        <s v="Usa"/>
      </sharedItems>
    </cacheField>
    <cacheField name="Product" numFmtId="0">
      <sharedItems/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 Sales" numFmtId="0">
      <sharedItems containsSemiMixedTypes="0" containsString="0" containsNumber="1" minValue="1655.08" maxValue="1159200"/>
    </cacheField>
    <cacheField name="Profit" numFmtId="0">
      <sharedItems containsSemiMixedTypes="0" containsString="0" containsNumber="1" minValue="-40617.5" maxValue="262200"/>
    </cacheField>
    <cacheField name="Month Name" numFmtId="0">
      <sharedItems/>
    </cacheField>
    <cacheField name="Year" numFmtId="0">
      <sharedItems containsSemiMixedTypes="0" containsString="0" containsNumber="1" containsInteger="1" minValue="2018" maxValue="2019"/>
    </cacheField>
  </cacheFields>
  <extLst>
    <ext xmlns:x14="http://schemas.microsoft.com/office/spreadsheetml/2009/9/main" uri="{725AE2AE-9491-48be-B2B4-4EB974FC3084}">
      <x14:pivotCacheDefinition pivotCacheId="3918020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s v="Government"/>
    <x v="0"/>
    <s v="Carretera"/>
    <s v="None"/>
    <n v="1618.5"/>
    <n v="20"/>
    <n v="32370"/>
    <n v="32370"/>
    <n v="16185"/>
    <s v="Jan"/>
    <n v="2019"/>
  </r>
  <r>
    <s v="Government"/>
    <x v="0"/>
    <s v="Carretera"/>
    <s v="None"/>
    <n v="1321"/>
    <n v="20"/>
    <n v="26420"/>
    <n v="26420"/>
    <n v="13210"/>
    <s v="Jan"/>
    <n v="2019"/>
  </r>
  <r>
    <s v="Midmarket"/>
    <x v="1"/>
    <s v="Carretera"/>
    <s v="None"/>
    <n v="2178"/>
    <n v="15"/>
    <n v="32670"/>
    <n v="32670"/>
    <n v="10890"/>
    <s v="Jun"/>
    <n v="2019"/>
  </r>
  <r>
    <s v="Midmarket"/>
    <x v="0"/>
    <s v="Carretera"/>
    <s v="None"/>
    <n v="888"/>
    <n v="15"/>
    <n v="13320"/>
    <n v="13320"/>
    <n v="4440"/>
    <s v="Jun"/>
    <n v="2019"/>
  </r>
  <r>
    <s v="Midmarket"/>
    <x v="2"/>
    <s v="Carretera"/>
    <s v="None"/>
    <n v="2470"/>
    <n v="15"/>
    <n v="37050"/>
    <n v="37050"/>
    <n v="12350"/>
    <s v="Jun"/>
    <n v="2019"/>
  </r>
  <r>
    <s v="Government"/>
    <x v="0"/>
    <s v="Carretera"/>
    <s v="None"/>
    <n v="1513"/>
    <n v="350"/>
    <n v="529550"/>
    <n v="529550"/>
    <n v="136170"/>
    <s v="Dec"/>
    <n v="2019"/>
  </r>
  <r>
    <s v="Midmarket"/>
    <x v="0"/>
    <s v="Montana"/>
    <s v="None"/>
    <n v="921"/>
    <n v="15"/>
    <n v="13815"/>
    <n v="13815"/>
    <n v="4605"/>
    <s v="Mar"/>
    <n v="2019"/>
  </r>
  <r>
    <s v="Channel Partners"/>
    <x v="3"/>
    <s v="Montana"/>
    <s v="None"/>
    <n v="2518"/>
    <n v="12"/>
    <n v="30216"/>
    <n v="30216"/>
    <n v="22662"/>
    <s v="Jun"/>
    <n v="2019"/>
  </r>
  <r>
    <s v="Government"/>
    <x v="1"/>
    <s v="Montana"/>
    <s v="None"/>
    <n v="1899"/>
    <n v="20"/>
    <n v="37980"/>
    <n v="37980"/>
    <n v="18990"/>
    <s v="Jun"/>
    <n v="2019"/>
  </r>
  <r>
    <s v="Channel Partners"/>
    <x v="0"/>
    <s v="Montana"/>
    <s v="None"/>
    <n v="1545"/>
    <n v="12"/>
    <n v="18540"/>
    <n v="18540"/>
    <n v="13905"/>
    <s v="Jun"/>
    <n v="2019"/>
  </r>
  <r>
    <s v="Midmarket"/>
    <x v="2"/>
    <s v="Montana"/>
    <s v="None"/>
    <n v="2470"/>
    <n v="15"/>
    <n v="37050"/>
    <n v="37050"/>
    <n v="12350"/>
    <s v="Jun"/>
    <n v="2019"/>
  </r>
  <r>
    <s v="Enterprise"/>
    <x v="3"/>
    <s v="Montana"/>
    <s v="None"/>
    <n v="2665.5"/>
    <n v="125"/>
    <n v="333187.5"/>
    <n v="333187.5"/>
    <n v="13327.5"/>
    <s v="Jul"/>
    <n v="2019"/>
  </r>
  <r>
    <s v="Small Business"/>
    <x v="2"/>
    <s v="Montana"/>
    <s v="None"/>
    <n v="958"/>
    <n v="300"/>
    <n v="287400"/>
    <n v="287400"/>
    <n v="47900"/>
    <s v="Aug"/>
    <n v="2019"/>
  </r>
  <r>
    <s v="Government"/>
    <x v="0"/>
    <s v="Montana"/>
    <s v="None"/>
    <n v="2146"/>
    <n v="7"/>
    <n v="15022"/>
    <n v="15022"/>
    <n v="4292"/>
    <s v="Sep"/>
    <n v="2019"/>
  </r>
  <r>
    <s v="Enterprise"/>
    <x v="3"/>
    <s v="Montana"/>
    <s v="None"/>
    <n v="345"/>
    <n v="125"/>
    <n v="43125"/>
    <n v="43125"/>
    <n v="1725"/>
    <s v="Oct"/>
    <n v="2018"/>
  </r>
  <r>
    <s v="Midmarket"/>
    <x v="4"/>
    <s v="Montana"/>
    <s v="None"/>
    <n v="615"/>
    <n v="15"/>
    <n v="9225"/>
    <n v="9225"/>
    <n v="3075"/>
    <s v="Dec"/>
    <n v="2019"/>
  </r>
  <r>
    <s v="Government"/>
    <x v="3"/>
    <s v="Paseo"/>
    <s v="None"/>
    <n v="292"/>
    <n v="20"/>
    <n v="5840"/>
    <n v="5840"/>
    <n v="2920"/>
    <s v="Feb"/>
    <n v="2019"/>
  </r>
  <r>
    <s v="Midmarket"/>
    <x v="2"/>
    <s v="Paseo"/>
    <s v="None"/>
    <n v="974"/>
    <n v="15"/>
    <n v="14610"/>
    <n v="14610"/>
    <n v="4870"/>
    <s v="Feb"/>
    <n v="2019"/>
  </r>
  <r>
    <s v="Channel Partners"/>
    <x v="3"/>
    <s v="Paseo"/>
    <s v="None"/>
    <n v="2518"/>
    <n v="12"/>
    <n v="30216"/>
    <n v="30216"/>
    <n v="22662"/>
    <s v="Jun"/>
    <n v="2019"/>
  </r>
  <r>
    <s v="Government"/>
    <x v="0"/>
    <s v="Paseo"/>
    <s v="None"/>
    <n v="1006"/>
    <n v="350"/>
    <n v="352100"/>
    <n v="352100"/>
    <n v="90540"/>
    <s v="Jun"/>
    <n v="2019"/>
  </r>
  <r>
    <s v="Channel Partners"/>
    <x v="0"/>
    <s v="Paseo"/>
    <s v="None"/>
    <n v="367"/>
    <n v="12"/>
    <n v="4404"/>
    <n v="4404"/>
    <n v="3303"/>
    <s v="Jul"/>
    <n v="2019"/>
  </r>
  <r>
    <s v="Government"/>
    <x v="2"/>
    <s v="Paseo"/>
    <s v="None"/>
    <n v="883"/>
    <n v="7"/>
    <n v="6181"/>
    <n v="6181"/>
    <n v="1766"/>
    <s v="Aug"/>
    <n v="2019"/>
  </r>
  <r>
    <s v="Midmarket"/>
    <x v="1"/>
    <s v="Paseo"/>
    <s v="None"/>
    <n v="549"/>
    <n v="15"/>
    <n v="8235"/>
    <n v="8235"/>
    <n v="2745"/>
    <s v="Sep"/>
    <n v="2018"/>
  </r>
  <r>
    <s v="Small Business"/>
    <x v="2"/>
    <s v="Paseo"/>
    <s v="None"/>
    <n v="788"/>
    <n v="300"/>
    <n v="236400"/>
    <n v="236400"/>
    <n v="39400"/>
    <s v="Sep"/>
    <n v="2018"/>
  </r>
  <r>
    <s v="Midmarket"/>
    <x v="2"/>
    <s v="Paseo"/>
    <s v="None"/>
    <n v="2472"/>
    <n v="15"/>
    <n v="37080"/>
    <n v="37080"/>
    <n v="12360"/>
    <s v="Sep"/>
    <n v="2019"/>
  </r>
  <r>
    <s v="Government"/>
    <x v="4"/>
    <s v="Paseo"/>
    <s v="None"/>
    <n v="1143"/>
    <n v="7"/>
    <n v="8001"/>
    <n v="8001"/>
    <n v="2286"/>
    <s v="Oct"/>
    <n v="2019"/>
  </r>
  <r>
    <s v="Government"/>
    <x v="3"/>
    <s v="Paseo"/>
    <s v="None"/>
    <n v="1725"/>
    <n v="350"/>
    <n v="603750"/>
    <n v="603750"/>
    <n v="155250"/>
    <s v="Nov"/>
    <n v="2018"/>
  </r>
  <r>
    <s v="Channel Partners"/>
    <x v="4"/>
    <s v="Paseo"/>
    <s v="None"/>
    <n v="912"/>
    <n v="12"/>
    <n v="10944"/>
    <n v="10944"/>
    <n v="8208"/>
    <s v="Nov"/>
    <n v="2018"/>
  </r>
  <r>
    <s v="Midmarket"/>
    <x v="3"/>
    <s v="Paseo"/>
    <s v="None"/>
    <n v="2152"/>
    <n v="15"/>
    <n v="32280"/>
    <n v="32280"/>
    <n v="10760"/>
    <s v="Dec"/>
    <n v="2018"/>
  </r>
  <r>
    <s v="Government"/>
    <x v="3"/>
    <s v="Paseo"/>
    <s v="None"/>
    <n v="1817"/>
    <n v="20"/>
    <n v="36340"/>
    <n v="36340"/>
    <n v="18170"/>
    <s v="Dec"/>
    <n v="2019"/>
  </r>
  <r>
    <s v="Government"/>
    <x v="3"/>
    <s v="Paseo"/>
    <s v="None"/>
    <n v="1817"/>
    <n v="20"/>
    <n v="36340"/>
    <n v="36340"/>
    <n v="18170"/>
    <s v="Dec"/>
    <n v="2019"/>
  </r>
  <r>
    <s v="Government"/>
    <x v="0"/>
    <s v="Paseo"/>
    <s v="None"/>
    <n v="1513"/>
    <n v="350"/>
    <n v="529550"/>
    <n v="529550"/>
    <n v="136170"/>
    <s v="Dec"/>
    <n v="2019"/>
  </r>
  <r>
    <s v="Government"/>
    <x v="2"/>
    <s v="Velo"/>
    <s v="None"/>
    <n v="1493"/>
    <n v="7"/>
    <n v="10451"/>
    <n v="10451"/>
    <n v="2986"/>
    <s v="Jan"/>
    <n v="2019"/>
  </r>
  <r>
    <s v="Enterprise"/>
    <x v="1"/>
    <s v="Velo"/>
    <s v="None"/>
    <n v="1804"/>
    <n v="125"/>
    <n v="225500"/>
    <n v="225500"/>
    <n v="9020"/>
    <s v="Feb"/>
    <n v="2019"/>
  </r>
  <r>
    <s v="Enterprise"/>
    <x v="1"/>
    <s v="Velo"/>
    <s v="None"/>
    <n v="1804"/>
    <n v="125"/>
    <n v="225500"/>
    <n v="225500"/>
    <n v="9020"/>
    <s v="Feb"/>
    <n v="2019"/>
  </r>
  <r>
    <s v="Channel Partners"/>
    <x v="0"/>
    <s v="Velo"/>
    <s v="None"/>
    <n v="2161"/>
    <n v="12"/>
    <n v="25932"/>
    <n v="25932"/>
    <n v="19449"/>
    <s v="Mar"/>
    <n v="2019"/>
  </r>
  <r>
    <s v="Government"/>
    <x v="0"/>
    <s v="Velo"/>
    <s v="None"/>
    <n v="1006"/>
    <n v="350"/>
    <n v="352100"/>
    <n v="352100"/>
    <n v="90540"/>
    <s v="Jun"/>
    <n v="2019"/>
  </r>
  <r>
    <s v="Channel Partners"/>
    <x v="0"/>
    <s v="Velo"/>
    <s v="None"/>
    <n v="1545"/>
    <n v="12"/>
    <n v="18540"/>
    <n v="18540"/>
    <n v="13905"/>
    <s v="Jun"/>
    <n v="2019"/>
  </r>
  <r>
    <s v="Enterprise"/>
    <x v="4"/>
    <s v="Velo"/>
    <s v="None"/>
    <n v="2821"/>
    <n v="125"/>
    <n v="352625"/>
    <n v="352625"/>
    <n v="14105"/>
    <s v="Aug"/>
    <n v="2019"/>
  </r>
  <r>
    <s v="Enterprise"/>
    <x v="3"/>
    <s v="Velo"/>
    <s v="None"/>
    <n v="345"/>
    <n v="125"/>
    <n v="43125"/>
    <n v="43125"/>
    <n v="1725"/>
    <s v="Oct"/>
    <n v="2018"/>
  </r>
  <r>
    <s v="Small Business"/>
    <x v="3"/>
    <s v="VTT"/>
    <s v="None"/>
    <n v="2001"/>
    <n v="300"/>
    <n v="600300"/>
    <n v="600300"/>
    <n v="100050"/>
    <s v="Feb"/>
    <n v="2019"/>
  </r>
  <r>
    <s v="Small Business"/>
    <x v="3"/>
    <s v="VTT"/>
    <s v="None"/>
    <n v="2001"/>
    <n v="300"/>
    <n v="600300"/>
    <n v="600300"/>
    <n v="100050"/>
    <s v="Feb"/>
    <n v="2019"/>
  </r>
  <r>
    <s v="Channel Partners"/>
    <x v="0"/>
    <s v="VTT"/>
    <s v="None"/>
    <n v="2838"/>
    <n v="12"/>
    <n v="34056"/>
    <n v="34056"/>
    <n v="25542"/>
    <s v="Apr"/>
    <n v="2019"/>
  </r>
  <r>
    <s v="Midmarket"/>
    <x v="1"/>
    <s v="VTT"/>
    <s v="None"/>
    <n v="2178"/>
    <n v="15"/>
    <n v="32670"/>
    <n v="32670"/>
    <n v="10890"/>
    <s v="Jun"/>
    <n v="2019"/>
  </r>
  <r>
    <s v="Midmarket"/>
    <x v="0"/>
    <s v="VTT"/>
    <s v="None"/>
    <n v="888"/>
    <n v="15"/>
    <n v="13320"/>
    <n v="13320"/>
    <n v="4440"/>
    <s v="Jun"/>
    <n v="2019"/>
  </r>
  <r>
    <s v="Government"/>
    <x v="1"/>
    <s v="VTT"/>
    <s v="None"/>
    <n v="1527"/>
    <n v="350"/>
    <n v="534450"/>
    <n v="534450"/>
    <n v="137430"/>
    <s v="Sep"/>
    <n v="2018"/>
  </r>
  <r>
    <s v="Small Business"/>
    <x v="1"/>
    <s v="VTT"/>
    <s v="None"/>
    <n v="2151"/>
    <n v="300"/>
    <n v="645300"/>
    <n v="645300"/>
    <n v="107550"/>
    <s v="Sep"/>
    <n v="2019"/>
  </r>
  <r>
    <s v="Government"/>
    <x v="3"/>
    <s v="VTT"/>
    <s v="None"/>
    <n v="1817"/>
    <n v="20"/>
    <n v="36340"/>
    <n v="36340"/>
    <n v="18170"/>
    <s v="Dec"/>
    <n v="2019"/>
  </r>
  <r>
    <s v="Government"/>
    <x v="1"/>
    <s v="Amarilla"/>
    <s v="None"/>
    <n v="2750"/>
    <n v="350"/>
    <n v="962500"/>
    <n v="962500"/>
    <n v="247500"/>
    <s v="Feb"/>
    <n v="2019"/>
  </r>
  <r>
    <s v="Channel Partners"/>
    <x v="4"/>
    <s v="Amarilla"/>
    <s v="None"/>
    <n v="1953"/>
    <n v="12"/>
    <n v="23436"/>
    <n v="23436"/>
    <n v="17577"/>
    <s v="Apr"/>
    <n v="2019"/>
  </r>
  <r>
    <s v="Enterprise"/>
    <x v="0"/>
    <s v="Amarilla"/>
    <s v="None"/>
    <n v="4219.5"/>
    <n v="125"/>
    <n v="527437.5"/>
    <n v="527437.5"/>
    <n v="21097.5"/>
    <s v="Apr"/>
    <n v="2019"/>
  </r>
  <r>
    <s v="Government"/>
    <x v="1"/>
    <s v="Amarilla"/>
    <s v="None"/>
    <n v="1899"/>
    <n v="20"/>
    <n v="37980"/>
    <n v="37980"/>
    <n v="18990"/>
    <s v="Jun"/>
    <n v="2019"/>
  </r>
  <r>
    <s v="Government"/>
    <x v="0"/>
    <s v="Amarilla"/>
    <s v="None"/>
    <n v="1686"/>
    <n v="7"/>
    <n v="11802"/>
    <n v="11802"/>
    <n v="3372"/>
    <s v="Jul"/>
    <n v="2019"/>
  </r>
  <r>
    <s v="Channel Partners"/>
    <x v="4"/>
    <s v="Amarilla"/>
    <s v="None"/>
    <n v="2141"/>
    <n v="12"/>
    <n v="25692"/>
    <n v="25692"/>
    <n v="19269"/>
    <s v="Aug"/>
    <n v="2019"/>
  </r>
  <r>
    <s v="Government"/>
    <x v="4"/>
    <s v="Amarilla"/>
    <s v="None"/>
    <n v="1143"/>
    <n v="7"/>
    <n v="8001"/>
    <n v="8001"/>
    <n v="2286"/>
    <s v="Oct"/>
    <n v="2019"/>
  </r>
  <r>
    <s v="Midmarket"/>
    <x v="4"/>
    <s v="Amarilla"/>
    <s v="None"/>
    <n v="615"/>
    <n v="15"/>
    <n v="9225"/>
    <n v="9225"/>
    <n v="3075"/>
    <s v="Dec"/>
    <n v="2019"/>
  </r>
  <r>
    <s v="Government"/>
    <x v="1"/>
    <s v="Paseo"/>
    <s v="Low"/>
    <n v="3945"/>
    <n v="7"/>
    <n v="27615"/>
    <n v="27338.85"/>
    <n v="7613.85"/>
    <s v="Jan"/>
    <n v="2019"/>
  </r>
  <r>
    <s v="Midmarket"/>
    <x v="1"/>
    <s v="Paseo"/>
    <s v="Low"/>
    <n v="2296"/>
    <n v="15"/>
    <n v="34440"/>
    <n v="34095.599999999999"/>
    <n v="11135.6"/>
    <s v="Feb"/>
    <n v="2019"/>
  </r>
  <r>
    <s v="Government"/>
    <x v="1"/>
    <s v="Paseo"/>
    <s v="Low"/>
    <n v="1030"/>
    <n v="7"/>
    <n v="7210"/>
    <n v="7137.9"/>
    <n v="1987.9"/>
    <s v="May"/>
    <n v="2019"/>
  </r>
  <r>
    <s v="Government"/>
    <x v="1"/>
    <s v="Velo"/>
    <s v="Low"/>
    <n v="639"/>
    <n v="7"/>
    <n v="4473"/>
    <n v="4428.2700000000004"/>
    <n v="1233.27"/>
    <s v="Nov"/>
    <n v="2019"/>
  </r>
  <r>
    <s v="Government"/>
    <x v="3"/>
    <s v="VTT"/>
    <s v="Low"/>
    <n v="1326"/>
    <n v="7"/>
    <n v="9282"/>
    <n v="9189.18"/>
    <n v="2559.1799999999998"/>
    <s v="Mar"/>
    <n v="2019"/>
  </r>
  <r>
    <s v="Channel Partners"/>
    <x v="4"/>
    <s v="Carretera"/>
    <s v="Low"/>
    <n v="1858"/>
    <n v="12"/>
    <n v="22296"/>
    <n v="22073.040000000001"/>
    <n v="16499.04"/>
    <s v="Feb"/>
    <n v="2019"/>
  </r>
  <r>
    <s v="Government"/>
    <x v="2"/>
    <s v="Carretera"/>
    <s v="Low"/>
    <n v="1210"/>
    <n v="350"/>
    <n v="423500"/>
    <n v="419265"/>
    <n v="104665"/>
    <s v="Mar"/>
    <n v="2019"/>
  </r>
  <r>
    <s v="Government"/>
    <x v="4"/>
    <s v="Carretera"/>
    <s v="Low"/>
    <n v="2529"/>
    <n v="7"/>
    <n v="17703"/>
    <n v="17525.97"/>
    <n v="4880.97"/>
    <s v="Jul"/>
    <n v="2019"/>
  </r>
  <r>
    <s v="Channel Partners"/>
    <x v="3"/>
    <s v="Carretera"/>
    <s v="Low"/>
    <n v="1445"/>
    <n v="12"/>
    <n v="17340"/>
    <n v="17166.599999999999"/>
    <n v="12831.6"/>
    <s v="Sep"/>
    <n v="2019"/>
  </r>
  <r>
    <s v="Enterprise"/>
    <x v="4"/>
    <s v="Carretera"/>
    <s v="Low"/>
    <n v="330"/>
    <n v="125"/>
    <n v="41250"/>
    <n v="40837.5"/>
    <n v="1237.5"/>
    <s v="Sep"/>
    <n v="2018"/>
  </r>
  <r>
    <s v="Channel Partners"/>
    <x v="1"/>
    <s v="Carretera"/>
    <s v="Low"/>
    <n v="2671"/>
    <n v="12"/>
    <n v="32052"/>
    <n v="31731.48"/>
    <n v="23718.48"/>
    <s v="Sep"/>
    <n v="2019"/>
  </r>
  <r>
    <s v="Channel Partners"/>
    <x v="0"/>
    <s v="Carretera"/>
    <s v="Low"/>
    <n v="766"/>
    <n v="12"/>
    <n v="9192"/>
    <n v="9100.08"/>
    <n v="6802.08"/>
    <s v="Oct"/>
    <n v="2018"/>
  </r>
  <r>
    <s v="Small Business"/>
    <x v="2"/>
    <s v="Carretera"/>
    <s v="Low"/>
    <n v="494"/>
    <n v="300"/>
    <n v="148200"/>
    <n v="146718"/>
    <n v="23218"/>
    <s v="Oct"/>
    <n v="2018"/>
  </r>
  <r>
    <s v="Small Business"/>
    <x v="2"/>
    <s v="Carretera"/>
    <s v="Low"/>
    <n v="494"/>
    <n v="300"/>
    <n v="148200"/>
    <n v="146718"/>
    <n v="23218"/>
    <s v="Oct"/>
    <n v="2018"/>
  </r>
  <r>
    <s v="Government"/>
    <x v="2"/>
    <s v="Carretera"/>
    <s v="Low"/>
    <n v="1397"/>
    <n v="350"/>
    <n v="488950"/>
    <n v="484060.5"/>
    <n v="120840.5"/>
    <s v="Oct"/>
    <n v="2019"/>
  </r>
  <r>
    <s v="Government"/>
    <x v="1"/>
    <s v="Carretera"/>
    <s v="Low"/>
    <n v="2155"/>
    <n v="350"/>
    <n v="754250"/>
    <n v="746707.5"/>
    <n v="186407.5"/>
    <s v="Dec"/>
    <n v="2019"/>
  </r>
  <r>
    <s v="Midmarket"/>
    <x v="2"/>
    <s v="Montana"/>
    <s v="Low"/>
    <n v="2214"/>
    <n v="15"/>
    <n v="33210"/>
    <n v="32877.9"/>
    <n v="10737.9"/>
    <s v="Mar"/>
    <n v="2019"/>
  </r>
  <r>
    <s v="Small Business"/>
    <x v="4"/>
    <s v="Montana"/>
    <s v="Low"/>
    <n v="2301"/>
    <n v="300"/>
    <n v="690300"/>
    <n v="683397"/>
    <n v="108147"/>
    <s v="Apr"/>
    <n v="2019"/>
  </r>
  <r>
    <s v="Government"/>
    <x v="1"/>
    <s v="Montana"/>
    <s v="Low"/>
    <n v="1375.5"/>
    <n v="20"/>
    <n v="27510"/>
    <n v="27234.9"/>
    <n v="13479.9"/>
    <s v="Jul"/>
    <n v="2019"/>
  </r>
  <r>
    <s v="Government"/>
    <x v="1"/>
    <s v="Montana"/>
    <s v="Low"/>
    <n v="1375.5"/>
    <n v="20"/>
    <n v="27510"/>
    <n v="27234.9"/>
    <n v="13479.9"/>
    <s v="Jul"/>
    <n v="2019"/>
  </r>
  <r>
    <s v="Government"/>
    <x v="3"/>
    <s v="Montana"/>
    <s v="Low"/>
    <n v="1830"/>
    <n v="7"/>
    <n v="12810"/>
    <n v="12681.9"/>
    <n v="3531.9"/>
    <s v="Aug"/>
    <n v="2019"/>
  </r>
  <r>
    <s v="Small Business"/>
    <x v="4"/>
    <s v="Montana"/>
    <s v="Low"/>
    <n v="2498"/>
    <n v="300"/>
    <n v="749400"/>
    <n v="741906"/>
    <n v="117406"/>
    <s v="Sep"/>
    <n v="2018"/>
  </r>
  <r>
    <s v="Enterprise"/>
    <x v="4"/>
    <s v="Montana"/>
    <s v="Low"/>
    <n v="663"/>
    <n v="125"/>
    <n v="82875"/>
    <n v="82046.25"/>
    <n v="2486.25"/>
    <s v="Oct"/>
    <n v="2018"/>
  </r>
  <r>
    <s v="Midmarket"/>
    <x v="4"/>
    <s v="Paseo"/>
    <s v="Low"/>
    <n v="1514"/>
    <n v="15"/>
    <n v="22710"/>
    <n v="22482.9"/>
    <n v="7342.9"/>
    <s v="Feb"/>
    <n v="2019"/>
  </r>
  <r>
    <s v="Government"/>
    <x v="4"/>
    <s v="Paseo"/>
    <s v="Low"/>
    <n v="4492.5"/>
    <n v="7"/>
    <n v="31447.5"/>
    <n v="31133.025000000001"/>
    <n v="8670.5249999999996"/>
    <s v="Apr"/>
    <n v="2019"/>
  </r>
  <r>
    <s v="Enterprise"/>
    <x v="4"/>
    <s v="Paseo"/>
    <s v="Low"/>
    <n v="727"/>
    <n v="125"/>
    <n v="90875"/>
    <n v="89966.25"/>
    <n v="2726.25"/>
    <s v="Jun"/>
    <n v="2019"/>
  </r>
  <r>
    <s v="Enterprise"/>
    <x v="1"/>
    <s v="Paseo"/>
    <s v="Low"/>
    <n v="787"/>
    <n v="125"/>
    <n v="98375"/>
    <n v="97391.25"/>
    <n v="2951.25"/>
    <s v="Jun"/>
    <n v="2019"/>
  </r>
  <r>
    <s v="Enterprise"/>
    <x v="2"/>
    <s v="Paseo"/>
    <s v="Low"/>
    <n v="1823"/>
    <n v="125"/>
    <n v="227875"/>
    <n v="225596.25"/>
    <n v="6836.25"/>
    <s v="Jul"/>
    <n v="2019"/>
  </r>
  <r>
    <s v="Midmarket"/>
    <x v="0"/>
    <s v="Paseo"/>
    <s v="Low"/>
    <n v="747"/>
    <n v="15"/>
    <n v="11205"/>
    <n v="11092.95"/>
    <n v="3622.95"/>
    <s v="Sep"/>
    <n v="2019"/>
  </r>
  <r>
    <s v="Channel Partners"/>
    <x v="0"/>
    <s v="Paseo"/>
    <s v="Low"/>
    <n v="766"/>
    <n v="12"/>
    <n v="9192"/>
    <n v="9100.08"/>
    <n v="6802.08"/>
    <s v="Oct"/>
    <n v="2018"/>
  </r>
  <r>
    <s v="Small Business"/>
    <x v="4"/>
    <s v="Paseo"/>
    <s v="Low"/>
    <n v="2905"/>
    <n v="300"/>
    <n v="871500"/>
    <n v="862785"/>
    <n v="136535"/>
    <s v="Nov"/>
    <n v="2019"/>
  </r>
  <r>
    <s v="Government"/>
    <x v="1"/>
    <s v="Paseo"/>
    <s v="Low"/>
    <n v="2155"/>
    <n v="350"/>
    <n v="754250"/>
    <n v="746707.5"/>
    <n v="186407.5"/>
    <s v="Dec"/>
    <n v="2019"/>
  </r>
  <r>
    <s v="Government"/>
    <x v="1"/>
    <s v="Velo"/>
    <s v="Low"/>
    <n v="3864"/>
    <n v="20"/>
    <n v="77280"/>
    <n v="76507.199999999997"/>
    <n v="37867.199999999997"/>
    <s v="Apr"/>
    <n v="2019"/>
  </r>
  <r>
    <s v="Government"/>
    <x v="2"/>
    <s v="Velo"/>
    <s v="Low"/>
    <n v="362"/>
    <n v="7"/>
    <n v="2534"/>
    <n v="2508.66"/>
    <n v="698.66"/>
    <s v="May"/>
    <n v="2019"/>
  </r>
  <r>
    <s v="Enterprise"/>
    <x v="3"/>
    <s v="Velo"/>
    <s v="Low"/>
    <n v="923"/>
    <n v="125"/>
    <n v="115375"/>
    <n v="114221.25"/>
    <n v="3461.25"/>
    <s v="Aug"/>
    <n v="2019"/>
  </r>
  <r>
    <s v="Enterprise"/>
    <x v="4"/>
    <s v="Velo"/>
    <s v="Low"/>
    <n v="663"/>
    <n v="125"/>
    <n v="82875"/>
    <n v="82046.25"/>
    <n v="2486.25"/>
    <s v="Oct"/>
    <n v="2018"/>
  </r>
  <r>
    <s v="Government"/>
    <x v="3"/>
    <s v="Velo"/>
    <s v="Low"/>
    <n v="2092"/>
    <n v="7"/>
    <n v="14644"/>
    <n v="14497.56"/>
    <n v="4037.56"/>
    <s v="Nov"/>
    <n v="2018"/>
  </r>
  <r>
    <s v="Government"/>
    <x v="0"/>
    <s v="VTT"/>
    <s v="Low"/>
    <n v="263"/>
    <n v="7"/>
    <n v="1841"/>
    <n v="1822.59"/>
    <n v="507.59"/>
    <s v="Mar"/>
    <n v="2019"/>
  </r>
  <r>
    <s v="Government"/>
    <x v="3"/>
    <s v="VTT"/>
    <s v="Low"/>
    <n v="943.5"/>
    <n v="350"/>
    <n v="330225"/>
    <n v="326922.75"/>
    <n v="81612.75"/>
    <s v="Apr"/>
    <n v="2019"/>
  </r>
  <r>
    <s v="Enterprise"/>
    <x v="4"/>
    <s v="VTT"/>
    <s v="Low"/>
    <n v="727"/>
    <n v="125"/>
    <n v="90875"/>
    <n v="89966.25"/>
    <n v="2726.25"/>
    <s v="Jun"/>
    <n v="2019"/>
  </r>
  <r>
    <s v="Enterprise"/>
    <x v="1"/>
    <s v="VTT"/>
    <s v="Low"/>
    <n v="787"/>
    <n v="125"/>
    <n v="98375"/>
    <n v="97391.25"/>
    <n v="2951.25"/>
    <s v="Jun"/>
    <n v="2019"/>
  </r>
  <r>
    <s v="Small Business"/>
    <x v="0"/>
    <s v="VTT"/>
    <s v="Low"/>
    <n v="986"/>
    <n v="300"/>
    <n v="295800"/>
    <n v="292842"/>
    <n v="46342"/>
    <s v="Sep"/>
    <n v="2019"/>
  </r>
  <r>
    <s v="Small Business"/>
    <x v="2"/>
    <s v="VTT"/>
    <s v="Low"/>
    <n v="494"/>
    <n v="300"/>
    <n v="148200"/>
    <n v="146718"/>
    <n v="23218"/>
    <s v="Oct"/>
    <n v="2018"/>
  </r>
  <r>
    <s v="Government"/>
    <x v="2"/>
    <s v="VTT"/>
    <s v="Low"/>
    <n v="1397"/>
    <n v="350"/>
    <n v="488950"/>
    <n v="484060.5"/>
    <n v="120840.5"/>
    <s v="Oct"/>
    <n v="2019"/>
  </r>
  <r>
    <s v="Enterprise"/>
    <x v="1"/>
    <s v="VTT"/>
    <s v="Low"/>
    <n v="1744"/>
    <n v="125"/>
    <n v="218000"/>
    <n v="215820"/>
    <n v="6540"/>
    <s v="Nov"/>
    <n v="2019"/>
  </r>
  <r>
    <s v="Channel Partners"/>
    <x v="4"/>
    <s v="Amarilla"/>
    <s v="Low"/>
    <n v="1989"/>
    <n v="12"/>
    <n v="23868"/>
    <n v="23629.32"/>
    <n v="17662.32"/>
    <s v="Sep"/>
    <n v="2018"/>
  </r>
  <r>
    <s v="Midmarket"/>
    <x v="1"/>
    <s v="Amarilla"/>
    <s v="Low"/>
    <n v="321"/>
    <n v="15"/>
    <n v="4815"/>
    <n v="4766.8500000000004"/>
    <n v="1556.85"/>
    <s v="Nov"/>
    <n v="2018"/>
  </r>
  <r>
    <s v="Enterprise"/>
    <x v="3"/>
    <s v="Carretera"/>
    <s v="Low"/>
    <n v="742.5"/>
    <n v="125"/>
    <n v="92812.5"/>
    <n v="90956.25"/>
    <n v="1856.25"/>
    <s v="Apr"/>
    <n v="2019"/>
  </r>
  <r>
    <s v="Channel Partners"/>
    <x v="3"/>
    <s v="Carretera"/>
    <s v="Low"/>
    <n v="1295"/>
    <n v="12"/>
    <n v="15540"/>
    <n v="15229.2"/>
    <n v="11344.2"/>
    <s v="Oct"/>
    <n v="2019"/>
  </r>
  <r>
    <s v="Small Business"/>
    <x v="0"/>
    <s v="Carretera"/>
    <s v="Low"/>
    <n v="214"/>
    <n v="300"/>
    <n v="64200"/>
    <n v="62916"/>
    <n v="9416"/>
    <s v="Oct"/>
    <n v="2018"/>
  </r>
  <r>
    <s v="Government"/>
    <x v="1"/>
    <s v="Carretera"/>
    <s v="Low"/>
    <n v="2145"/>
    <n v="7"/>
    <n v="15015"/>
    <n v="14714.7"/>
    <n v="3989.7"/>
    <s v="Nov"/>
    <n v="2018"/>
  </r>
  <r>
    <s v="Government"/>
    <x v="3"/>
    <s v="Carretera"/>
    <s v="Low"/>
    <n v="2852"/>
    <n v="350"/>
    <n v="998200"/>
    <n v="978236"/>
    <n v="236716"/>
    <s v="Dec"/>
    <n v="2019"/>
  </r>
  <r>
    <s v="Channel Partners"/>
    <x v="4"/>
    <s v="Montana"/>
    <s v="Low"/>
    <n v="1142"/>
    <n v="12"/>
    <n v="13704"/>
    <n v="13429.92"/>
    <n v="10003.92"/>
    <s v="Jun"/>
    <n v="2019"/>
  </r>
  <r>
    <s v="Government"/>
    <x v="4"/>
    <s v="Montana"/>
    <s v="Low"/>
    <n v="1566"/>
    <n v="20"/>
    <n v="31320"/>
    <n v="30693.599999999999"/>
    <n v="15033.6"/>
    <s v="Oct"/>
    <n v="2019"/>
  </r>
  <r>
    <s v="Channel Partners"/>
    <x v="2"/>
    <s v="Montana"/>
    <s v="Low"/>
    <n v="690"/>
    <n v="12"/>
    <n v="8280"/>
    <n v="8114.4"/>
    <n v="6044.4"/>
    <s v="Nov"/>
    <n v="2019"/>
  </r>
  <r>
    <s v="Enterprise"/>
    <x v="2"/>
    <s v="Montana"/>
    <s v="Low"/>
    <n v="1660"/>
    <n v="125"/>
    <n v="207500"/>
    <n v="203350"/>
    <n v="4150"/>
    <s v="Nov"/>
    <n v="2018"/>
  </r>
  <r>
    <s v="Midmarket"/>
    <x v="3"/>
    <s v="Paseo"/>
    <s v="Low"/>
    <n v="2363"/>
    <n v="15"/>
    <n v="35445"/>
    <n v="34736.1"/>
    <n v="11106.1"/>
    <s v="Feb"/>
    <n v="2019"/>
  </r>
  <r>
    <s v="Small Business"/>
    <x v="1"/>
    <s v="Paseo"/>
    <s v="Low"/>
    <n v="918"/>
    <n v="300"/>
    <n v="275400"/>
    <n v="269892"/>
    <n v="40392"/>
    <s v="May"/>
    <n v="2019"/>
  </r>
  <r>
    <s v="Small Business"/>
    <x v="0"/>
    <s v="Paseo"/>
    <s v="Low"/>
    <n v="1728"/>
    <n v="300"/>
    <n v="518400"/>
    <n v="508032"/>
    <n v="76032"/>
    <s v="May"/>
    <n v="2019"/>
  </r>
  <r>
    <s v="Channel Partners"/>
    <x v="4"/>
    <s v="Paseo"/>
    <s v="Low"/>
    <n v="1142"/>
    <n v="12"/>
    <n v="13704"/>
    <n v="13429.92"/>
    <n v="10003.92"/>
    <s v="Jun"/>
    <n v="2019"/>
  </r>
  <r>
    <s v="Enterprise"/>
    <x v="2"/>
    <s v="Paseo"/>
    <s v="Low"/>
    <n v="662"/>
    <n v="125"/>
    <n v="82750"/>
    <n v="81095"/>
    <n v="1655"/>
    <s v="Jun"/>
    <n v="2019"/>
  </r>
  <r>
    <s v="Channel Partners"/>
    <x v="3"/>
    <s v="Paseo"/>
    <s v="Low"/>
    <n v="1295"/>
    <n v="12"/>
    <n v="15540"/>
    <n v="15229.2"/>
    <n v="11344.2"/>
    <s v="Oct"/>
    <n v="2019"/>
  </r>
  <r>
    <s v="Enterprise"/>
    <x v="0"/>
    <s v="Paseo"/>
    <s v="Low"/>
    <n v="809"/>
    <n v="125"/>
    <n v="101125"/>
    <n v="99102.5"/>
    <n v="2022.5"/>
    <s v="Oct"/>
    <n v="2018"/>
  </r>
  <r>
    <s v="Enterprise"/>
    <x v="2"/>
    <s v="Paseo"/>
    <s v="Low"/>
    <n v="2145"/>
    <n v="125"/>
    <n v="268125"/>
    <n v="262762.5"/>
    <n v="5362.5"/>
    <s v="Oct"/>
    <n v="2018"/>
  </r>
  <r>
    <s v="Channel Partners"/>
    <x v="1"/>
    <s v="Paseo"/>
    <s v="Low"/>
    <n v="1785"/>
    <n v="12"/>
    <n v="21420"/>
    <n v="20991.599999999999"/>
    <n v="15636.6"/>
    <s v="Nov"/>
    <n v="2018"/>
  </r>
  <r>
    <s v="Small Business"/>
    <x v="3"/>
    <s v="Paseo"/>
    <s v="Low"/>
    <n v="1916"/>
    <n v="300"/>
    <n v="574800"/>
    <n v="563304"/>
    <n v="84304"/>
    <s v="Dec"/>
    <n v="2019"/>
  </r>
  <r>
    <s v="Government"/>
    <x v="3"/>
    <s v="Paseo"/>
    <s v="Low"/>
    <n v="2852"/>
    <n v="350"/>
    <n v="998200"/>
    <n v="978236"/>
    <n v="236716"/>
    <s v="Dec"/>
    <n v="2019"/>
  </r>
  <r>
    <s v="Enterprise"/>
    <x v="3"/>
    <s v="Paseo"/>
    <s v="Low"/>
    <n v="2729"/>
    <n v="125"/>
    <n v="341125"/>
    <n v="334302.5"/>
    <n v="6822.5"/>
    <s v="Dec"/>
    <n v="2019"/>
  </r>
  <r>
    <s v="Midmarket"/>
    <x v="4"/>
    <s v="Paseo"/>
    <s v="Low"/>
    <n v="1925"/>
    <n v="15"/>
    <n v="28875"/>
    <n v="28297.5"/>
    <n v="9047.5"/>
    <s v="Dec"/>
    <n v="2018"/>
  </r>
  <r>
    <s v="Government"/>
    <x v="4"/>
    <s v="Paseo"/>
    <s v="Low"/>
    <n v="2013"/>
    <n v="7"/>
    <n v="14091"/>
    <n v="13809.18"/>
    <n v="3744.18"/>
    <s v="Dec"/>
    <n v="2018"/>
  </r>
  <r>
    <s v="Channel Partners"/>
    <x v="1"/>
    <s v="Paseo"/>
    <s v="Low"/>
    <n v="1055"/>
    <n v="12"/>
    <n v="12660"/>
    <n v="12406.8"/>
    <n v="9241.7999999999993"/>
    <s v="Dec"/>
    <n v="2019"/>
  </r>
  <r>
    <s v="Channel Partners"/>
    <x v="2"/>
    <s v="Paseo"/>
    <s v="Low"/>
    <n v="1084"/>
    <n v="12"/>
    <n v="13008"/>
    <n v="12747.84"/>
    <n v="9495.84"/>
    <s v="Dec"/>
    <n v="2019"/>
  </r>
  <r>
    <s v="Government"/>
    <x v="4"/>
    <s v="Velo"/>
    <s v="Low"/>
    <n v="1566"/>
    <n v="20"/>
    <n v="31320"/>
    <n v="30693.599999999999"/>
    <n v="15033.6"/>
    <s v="Oct"/>
    <n v="2019"/>
  </r>
  <r>
    <s v="Government"/>
    <x v="0"/>
    <s v="Velo"/>
    <s v="Low"/>
    <n v="2966"/>
    <n v="350"/>
    <n v="1038100"/>
    <n v="1017338"/>
    <n v="246178"/>
    <s v="Oct"/>
    <n v="2018"/>
  </r>
  <r>
    <s v="Government"/>
    <x v="0"/>
    <s v="Velo"/>
    <s v="Low"/>
    <n v="2877"/>
    <n v="350"/>
    <n v="1006950"/>
    <n v="986811"/>
    <n v="238791"/>
    <s v="Oct"/>
    <n v="2019"/>
  </r>
  <r>
    <s v="Enterprise"/>
    <x v="0"/>
    <s v="Velo"/>
    <s v="Low"/>
    <n v="809"/>
    <n v="125"/>
    <n v="101125"/>
    <n v="99102.5"/>
    <n v="2022.5"/>
    <s v="Oct"/>
    <n v="2018"/>
  </r>
  <r>
    <s v="Enterprise"/>
    <x v="2"/>
    <s v="Velo"/>
    <s v="Low"/>
    <n v="2145"/>
    <n v="125"/>
    <n v="268125"/>
    <n v="262762.5"/>
    <n v="5362.5"/>
    <s v="Oct"/>
    <n v="2018"/>
  </r>
  <r>
    <s v="Channel Partners"/>
    <x v="1"/>
    <s v="Velo"/>
    <s v="Low"/>
    <n v="1055"/>
    <n v="12"/>
    <n v="12660"/>
    <n v="12406.8"/>
    <n v="9241.7999999999993"/>
    <s v="Dec"/>
    <n v="2019"/>
  </r>
  <r>
    <s v="Government"/>
    <x v="2"/>
    <s v="Velo"/>
    <s v="Low"/>
    <n v="544"/>
    <n v="20"/>
    <n v="10880"/>
    <n v="10662.4"/>
    <n v="5222.3999999999996"/>
    <s v="Dec"/>
    <n v="2018"/>
  </r>
  <r>
    <s v="Channel Partners"/>
    <x v="2"/>
    <s v="Velo"/>
    <s v="Low"/>
    <n v="1084"/>
    <n v="12"/>
    <n v="13008"/>
    <n v="12747.84"/>
    <n v="9495.84"/>
    <s v="Dec"/>
    <n v="2019"/>
  </r>
  <r>
    <s v="Enterprise"/>
    <x v="2"/>
    <s v="VTT"/>
    <s v="Low"/>
    <n v="662"/>
    <n v="125"/>
    <n v="82750"/>
    <n v="81095"/>
    <n v="1655"/>
    <s v="Jun"/>
    <n v="2019"/>
  </r>
  <r>
    <s v="Small Business"/>
    <x v="0"/>
    <s v="VTT"/>
    <s v="Low"/>
    <n v="214"/>
    <n v="300"/>
    <n v="64200"/>
    <n v="62916"/>
    <n v="9416"/>
    <s v="Oct"/>
    <n v="2018"/>
  </r>
  <r>
    <s v="Government"/>
    <x v="0"/>
    <s v="VTT"/>
    <s v="Low"/>
    <n v="2877"/>
    <n v="350"/>
    <n v="1006950"/>
    <n v="986811"/>
    <n v="238791"/>
    <s v="Oct"/>
    <n v="2019"/>
  </r>
  <r>
    <s v="Enterprise"/>
    <x v="3"/>
    <s v="VTT"/>
    <s v="Low"/>
    <n v="2729"/>
    <n v="125"/>
    <n v="341125"/>
    <n v="334302.5"/>
    <n v="6822.5"/>
    <s v="Dec"/>
    <n v="2019"/>
  </r>
  <r>
    <s v="Government"/>
    <x v="4"/>
    <s v="VTT"/>
    <s v="Low"/>
    <n v="266"/>
    <n v="350"/>
    <n v="93100"/>
    <n v="91238"/>
    <n v="22078"/>
    <s v="Dec"/>
    <n v="2018"/>
  </r>
  <r>
    <s v="Government"/>
    <x v="2"/>
    <s v="VTT"/>
    <s v="Low"/>
    <n v="1940"/>
    <n v="350"/>
    <n v="679000"/>
    <n v="665420"/>
    <n v="161020"/>
    <s v="Dec"/>
    <n v="2018"/>
  </r>
  <r>
    <s v="Small Business"/>
    <x v="0"/>
    <s v="Amarilla"/>
    <s v="Low"/>
    <n v="259"/>
    <n v="300"/>
    <n v="77700"/>
    <n v="76146"/>
    <n v="11396"/>
    <s v="Mar"/>
    <n v="2019"/>
  </r>
  <r>
    <s v="Small Business"/>
    <x v="2"/>
    <s v="Amarilla"/>
    <s v="Low"/>
    <n v="1101"/>
    <n v="300"/>
    <n v="330300"/>
    <n v="323694"/>
    <n v="48444"/>
    <s v="Mar"/>
    <n v="2019"/>
  </r>
  <r>
    <s v="Enterprise"/>
    <x v="0"/>
    <s v="Amarilla"/>
    <s v="Low"/>
    <n v="2276"/>
    <n v="125"/>
    <n v="284500"/>
    <n v="278810"/>
    <n v="5690"/>
    <s v="May"/>
    <n v="2019"/>
  </r>
  <r>
    <s v="Government"/>
    <x v="0"/>
    <s v="Amarilla"/>
    <s v="Low"/>
    <n v="2966"/>
    <n v="350"/>
    <n v="1038100"/>
    <n v="1017338"/>
    <n v="246178"/>
    <s v="Oct"/>
    <n v="2018"/>
  </r>
  <r>
    <s v="Government"/>
    <x v="4"/>
    <s v="Amarilla"/>
    <s v="Low"/>
    <n v="1236"/>
    <n v="20"/>
    <n v="24720"/>
    <n v="24225.599999999999"/>
    <n v="11865.6"/>
    <s v="Nov"/>
    <n v="2019"/>
  </r>
  <r>
    <s v="Government"/>
    <x v="1"/>
    <s v="Amarilla"/>
    <s v="Low"/>
    <n v="941"/>
    <n v="20"/>
    <n v="18820"/>
    <n v="18443.599999999999"/>
    <n v="9033.6"/>
    <s v="Nov"/>
    <n v="2019"/>
  </r>
  <r>
    <s v="Small Business"/>
    <x v="3"/>
    <s v="Amarilla"/>
    <s v="Low"/>
    <n v="1916"/>
    <n v="300"/>
    <n v="574800"/>
    <n v="563304"/>
    <n v="84304"/>
    <s v="Dec"/>
    <n v="2019"/>
  </r>
  <r>
    <s v="Enterprise"/>
    <x v="1"/>
    <s v="Carretera"/>
    <s v="Low"/>
    <n v="4243.5"/>
    <n v="125"/>
    <n v="530437.5"/>
    <n v="514524.375"/>
    <n v="5304.375"/>
    <s v="Apr"/>
    <n v="2019"/>
  </r>
  <r>
    <s v="Government"/>
    <x v="0"/>
    <s v="Carretera"/>
    <s v="Low"/>
    <n v="2580"/>
    <n v="20"/>
    <n v="51600"/>
    <n v="50052"/>
    <n v="24252"/>
    <s v="Apr"/>
    <n v="2019"/>
  </r>
  <r>
    <s v="Small Business"/>
    <x v="0"/>
    <s v="Carretera"/>
    <s v="Low"/>
    <n v="689"/>
    <n v="300"/>
    <n v="206700"/>
    <n v="200499"/>
    <n v="28249"/>
    <s v="Jun"/>
    <n v="2019"/>
  </r>
  <r>
    <s v="Channel Partners"/>
    <x v="4"/>
    <s v="Carretera"/>
    <s v="Low"/>
    <n v="1947"/>
    <n v="12"/>
    <n v="23364"/>
    <n v="22663.08"/>
    <n v="16822.080000000002"/>
    <s v="Sep"/>
    <n v="2019"/>
  </r>
  <r>
    <s v="Channel Partners"/>
    <x v="3"/>
    <s v="Carretera"/>
    <s v="Low"/>
    <n v="908"/>
    <n v="12"/>
    <n v="10896"/>
    <n v="10569.12"/>
    <n v="7845.12"/>
    <s v="Dec"/>
    <n v="2018"/>
  </r>
  <r>
    <s v="Government"/>
    <x v="0"/>
    <s v="Montana"/>
    <s v="Low"/>
    <n v="1958"/>
    <n v="7"/>
    <n v="13706"/>
    <n v="13294.82"/>
    <n v="3504.82"/>
    <s v="Feb"/>
    <n v="2019"/>
  </r>
  <r>
    <s v="Channel Partners"/>
    <x v="1"/>
    <s v="Montana"/>
    <s v="Low"/>
    <n v="1901"/>
    <n v="12"/>
    <n v="22812"/>
    <n v="22127.64"/>
    <n v="16424.64"/>
    <s v="Jun"/>
    <n v="2019"/>
  </r>
  <r>
    <s v="Government"/>
    <x v="1"/>
    <s v="Montana"/>
    <s v="Low"/>
    <n v="544"/>
    <n v="7"/>
    <n v="3808"/>
    <n v="3693.76"/>
    <n v="973.76"/>
    <s v="Sep"/>
    <n v="2019"/>
  </r>
  <r>
    <s v="Government"/>
    <x v="0"/>
    <s v="Montana"/>
    <s v="Low"/>
    <n v="1797"/>
    <n v="350"/>
    <n v="628950"/>
    <n v="610081.5"/>
    <n v="142861.5"/>
    <s v="Sep"/>
    <n v="2018"/>
  </r>
  <r>
    <s v="Enterprise"/>
    <x v="1"/>
    <s v="Montana"/>
    <s v="Low"/>
    <n v="1287"/>
    <n v="125"/>
    <n v="160875"/>
    <n v="156048.75"/>
    <n v="1608.75"/>
    <s v="Dec"/>
    <n v="2019"/>
  </r>
  <r>
    <s v="Enterprise"/>
    <x v="0"/>
    <s v="Montana"/>
    <s v="Low"/>
    <n v="1706"/>
    <n v="125"/>
    <n v="213250"/>
    <n v="206852.5"/>
    <n v="2132.5"/>
    <s v="Dec"/>
    <n v="2019"/>
  </r>
  <r>
    <s v="Small Business"/>
    <x v="1"/>
    <s v="Paseo"/>
    <s v="Low"/>
    <n v="2434.5"/>
    <n v="300"/>
    <n v="730350"/>
    <n v="708439.5"/>
    <n v="99814.5"/>
    <s v="Jan"/>
    <n v="2019"/>
  </r>
  <r>
    <s v="Enterprise"/>
    <x v="3"/>
    <s v="Paseo"/>
    <s v="Low"/>
    <n v="1774"/>
    <n v="125"/>
    <n v="221750"/>
    <n v="215097.5"/>
    <n v="2217.5"/>
    <s v="Mar"/>
    <n v="2019"/>
  </r>
  <r>
    <s v="Channel Partners"/>
    <x v="1"/>
    <s v="Paseo"/>
    <s v="Low"/>
    <n v="1901"/>
    <n v="12"/>
    <n v="22812"/>
    <n v="22127.64"/>
    <n v="16424.64"/>
    <s v="Jun"/>
    <n v="2019"/>
  </r>
  <r>
    <s v="Small Business"/>
    <x v="0"/>
    <s v="Paseo"/>
    <s v="Low"/>
    <n v="689"/>
    <n v="300"/>
    <n v="206700"/>
    <n v="200499"/>
    <n v="28249"/>
    <s v="Jun"/>
    <n v="2019"/>
  </r>
  <r>
    <s v="Enterprise"/>
    <x v="0"/>
    <s v="Paseo"/>
    <s v="Low"/>
    <n v="1570"/>
    <n v="125"/>
    <n v="196250"/>
    <n v="190362.5"/>
    <n v="1962.5"/>
    <s v="Jun"/>
    <n v="2019"/>
  </r>
  <r>
    <s v="Channel Partners"/>
    <x v="4"/>
    <s v="Paseo"/>
    <s v="Low"/>
    <n v="1369.5"/>
    <n v="12"/>
    <n v="16434"/>
    <n v="15940.98"/>
    <n v="11832.48"/>
    <s v="Jul"/>
    <n v="2019"/>
  </r>
  <r>
    <s v="Enterprise"/>
    <x v="3"/>
    <s v="Paseo"/>
    <s v="Low"/>
    <n v="2009"/>
    <n v="125"/>
    <n v="251125"/>
    <n v="243591.25"/>
    <n v="2511.25"/>
    <s v="Oct"/>
    <n v="2019"/>
  </r>
  <r>
    <s v="Midmarket"/>
    <x v="0"/>
    <s v="Paseo"/>
    <s v="Low"/>
    <n v="1945"/>
    <n v="15"/>
    <n v="29175"/>
    <n v="28299.75"/>
    <n v="8849.75"/>
    <s v="Oct"/>
    <n v="2018"/>
  </r>
  <r>
    <s v="Enterprise"/>
    <x v="1"/>
    <s v="Paseo"/>
    <s v="Low"/>
    <n v="1287"/>
    <n v="125"/>
    <n v="160875"/>
    <n v="156048.75"/>
    <n v="1608.75"/>
    <s v="Dec"/>
    <n v="2019"/>
  </r>
  <r>
    <s v="Enterprise"/>
    <x v="0"/>
    <s v="Paseo"/>
    <s v="Low"/>
    <n v="1706"/>
    <n v="125"/>
    <n v="213250"/>
    <n v="206852.5"/>
    <n v="2132.5"/>
    <s v="Dec"/>
    <n v="2019"/>
  </r>
  <r>
    <s v="Enterprise"/>
    <x v="3"/>
    <s v="Velo"/>
    <s v="Low"/>
    <n v="2009"/>
    <n v="125"/>
    <n v="251125"/>
    <n v="243591.25"/>
    <n v="2511.25"/>
    <s v="Oct"/>
    <n v="2019"/>
  </r>
  <r>
    <s v="Small Business"/>
    <x v="4"/>
    <s v="VTT"/>
    <s v="Low"/>
    <n v="2844"/>
    <n v="300"/>
    <n v="853200"/>
    <n v="827604"/>
    <n v="116604"/>
    <s v="Feb"/>
    <n v="2019"/>
  </r>
  <r>
    <s v="Channel Partners"/>
    <x v="2"/>
    <s v="VTT"/>
    <s v="Low"/>
    <n v="1916"/>
    <n v="12"/>
    <n v="22992"/>
    <n v="22302.240000000002"/>
    <n v="16554.240000000002"/>
    <s v="Apr"/>
    <n v="2019"/>
  </r>
  <r>
    <s v="Enterprise"/>
    <x v="0"/>
    <s v="VTT"/>
    <s v="Low"/>
    <n v="1570"/>
    <n v="125"/>
    <n v="196250"/>
    <n v="190362.5"/>
    <n v="1962.5"/>
    <s v="Jun"/>
    <n v="2019"/>
  </r>
  <r>
    <s v="Small Business"/>
    <x v="3"/>
    <s v="VTT"/>
    <s v="Low"/>
    <n v="1874"/>
    <n v="300"/>
    <n v="562200"/>
    <n v="545334"/>
    <n v="76834"/>
    <s v="Aug"/>
    <n v="2019"/>
  </r>
  <r>
    <s v="Government"/>
    <x v="2"/>
    <s v="VTT"/>
    <s v="Low"/>
    <n v="1642"/>
    <n v="350"/>
    <n v="574700"/>
    <n v="557459"/>
    <n v="130539"/>
    <s v="Aug"/>
    <n v="2019"/>
  </r>
  <r>
    <s v="Midmarket"/>
    <x v="0"/>
    <s v="VTT"/>
    <s v="Low"/>
    <n v="1945"/>
    <n v="15"/>
    <n v="29175"/>
    <n v="28299.75"/>
    <n v="8849.75"/>
    <s v="Oct"/>
    <n v="2018"/>
  </r>
  <r>
    <s v="Government"/>
    <x v="3"/>
    <s v="Carretera"/>
    <s v="Low"/>
    <n v="831"/>
    <n v="20"/>
    <n v="16620"/>
    <n v="16121.4"/>
    <n v="7811.4"/>
    <s v="May"/>
    <n v="2019"/>
  </r>
  <r>
    <s v="Government"/>
    <x v="2"/>
    <s v="Paseo"/>
    <s v="Low"/>
    <n v="1760"/>
    <n v="7"/>
    <n v="12320"/>
    <n v="11950.4"/>
    <n v="3150.4"/>
    <s v="Sep"/>
    <n v="2018"/>
  </r>
  <r>
    <s v="Government"/>
    <x v="3"/>
    <s v="Velo"/>
    <s v="Low"/>
    <n v="3850.5"/>
    <n v="20"/>
    <n v="77010"/>
    <n v="74699.7"/>
    <n v="36194.699999999997"/>
    <s v="Apr"/>
    <n v="2019"/>
  </r>
  <r>
    <s v="Channel Partners"/>
    <x v="0"/>
    <s v="VTT"/>
    <s v="Low"/>
    <n v="2479"/>
    <n v="12"/>
    <n v="29748"/>
    <n v="28855.56"/>
    <n v="21418.560000000001"/>
    <s v="Jan"/>
    <n v="2019"/>
  </r>
  <r>
    <s v="Midmarket"/>
    <x v="2"/>
    <s v="Montana"/>
    <s v="Low"/>
    <n v="2031"/>
    <n v="15"/>
    <n v="30465"/>
    <n v="29246.400000000001"/>
    <n v="8936.4"/>
    <s v="Oct"/>
    <n v="2019"/>
  </r>
  <r>
    <s v="Midmarket"/>
    <x v="2"/>
    <s v="Paseo"/>
    <s v="Low"/>
    <n v="2031"/>
    <n v="15"/>
    <n v="30465"/>
    <n v="29246.400000000001"/>
    <n v="8936.4"/>
    <s v="Oct"/>
    <n v="2019"/>
  </r>
  <r>
    <s v="Midmarket"/>
    <x v="1"/>
    <s v="Paseo"/>
    <s v="Low"/>
    <n v="2261"/>
    <n v="15"/>
    <n v="33915"/>
    <n v="32558.400000000001"/>
    <n v="9948.4"/>
    <s v="Dec"/>
    <n v="2018"/>
  </r>
  <r>
    <s v="Government"/>
    <x v="4"/>
    <s v="Velo"/>
    <s v="Low"/>
    <n v="736"/>
    <n v="20"/>
    <n v="14720"/>
    <n v="14131.2"/>
    <n v="6771.2"/>
    <s v="Sep"/>
    <n v="2018"/>
  </r>
  <r>
    <s v="Government"/>
    <x v="3"/>
    <s v="Carretera"/>
    <s v="Low"/>
    <n v="2851"/>
    <n v="7"/>
    <n v="19957"/>
    <n v="19158.72"/>
    <n v="4903.72"/>
    <s v="Oct"/>
    <n v="2018"/>
  </r>
  <r>
    <s v="Small Business"/>
    <x v="0"/>
    <s v="Carretera"/>
    <s v="Low"/>
    <n v="2021"/>
    <n v="300"/>
    <n v="606300"/>
    <n v="582048"/>
    <n v="76798"/>
    <s v="Oct"/>
    <n v="2019"/>
  </r>
  <r>
    <s v="Government"/>
    <x v="4"/>
    <s v="Carretera"/>
    <s v="Low"/>
    <n v="274"/>
    <n v="350"/>
    <n v="95900"/>
    <n v="92064"/>
    <n v="20824"/>
    <s v="Dec"/>
    <n v="2019"/>
  </r>
  <r>
    <s v="Midmarket"/>
    <x v="3"/>
    <s v="Montana"/>
    <s v="Low"/>
    <n v="1967"/>
    <n v="15"/>
    <n v="29505"/>
    <n v="28324.799999999999"/>
    <n v="8654.7999999999993"/>
    <s v="Mar"/>
    <n v="2019"/>
  </r>
  <r>
    <s v="Small Business"/>
    <x v="0"/>
    <s v="Montana"/>
    <s v="Low"/>
    <n v="1859"/>
    <n v="300"/>
    <n v="557700"/>
    <n v="535392"/>
    <n v="70642"/>
    <s v="Aug"/>
    <n v="2019"/>
  </r>
  <r>
    <s v="Government"/>
    <x v="3"/>
    <s v="Montana"/>
    <s v="Low"/>
    <n v="2851"/>
    <n v="7"/>
    <n v="19957"/>
    <n v="19158.72"/>
    <n v="4903.72"/>
    <s v="Oct"/>
    <n v="2018"/>
  </r>
  <r>
    <s v="Small Business"/>
    <x v="0"/>
    <s v="Montana"/>
    <s v="Low"/>
    <n v="2021"/>
    <n v="300"/>
    <n v="606300"/>
    <n v="582048"/>
    <n v="76798"/>
    <s v="Oct"/>
    <n v="2019"/>
  </r>
  <r>
    <s v="Enterprise"/>
    <x v="2"/>
    <s v="Montana"/>
    <s v="Low"/>
    <n v="1138"/>
    <n v="125"/>
    <n v="142250"/>
    <n v="136560"/>
    <n v="0"/>
    <s v="Dec"/>
    <n v="2019"/>
  </r>
  <r>
    <s v="Government"/>
    <x v="3"/>
    <s v="Paseo"/>
    <s v="Low"/>
    <n v="4251"/>
    <n v="7"/>
    <n v="29757"/>
    <n v="28566.720000000001"/>
    <n v="7311.72"/>
    <s v="Jan"/>
    <n v="2019"/>
  </r>
  <r>
    <s v="Enterprise"/>
    <x v="0"/>
    <s v="Paseo"/>
    <s v="Low"/>
    <n v="795"/>
    <n v="125"/>
    <n v="99375"/>
    <n v="95400"/>
    <n v="0"/>
    <s v="Mar"/>
    <n v="2019"/>
  </r>
  <r>
    <s v="Small Business"/>
    <x v="0"/>
    <s v="Paseo"/>
    <s v="Low"/>
    <n v="1414.5"/>
    <n v="300"/>
    <n v="424350"/>
    <n v="407376"/>
    <n v="53751"/>
    <s v="Apr"/>
    <n v="2019"/>
  </r>
  <r>
    <s v="Small Business"/>
    <x v="4"/>
    <s v="Paseo"/>
    <s v="Low"/>
    <n v="2918"/>
    <n v="300"/>
    <n v="875400"/>
    <n v="840384"/>
    <n v="110884"/>
    <s v="May"/>
    <n v="2019"/>
  </r>
  <r>
    <s v="Government"/>
    <x v="4"/>
    <s v="Paseo"/>
    <s v="Low"/>
    <n v="3450"/>
    <n v="350"/>
    <n v="1207500"/>
    <n v="1159200"/>
    <n v="262200"/>
    <s v="Jul"/>
    <n v="2019"/>
  </r>
  <r>
    <s v="Enterprise"/>
    <x v="1"/>
    <s v="Paseo"/>
    <s v="Low"/>
    <n v="2988"/>
    <n v="125"/>
    <n v="373500"/>
    <n v="358560"/>
    <n v="0"/>
    <s v="Jul"/>
    <n v="2019"/>
  </r>
  <r>
    <s v="Midmarket"/>
    <x v="3"/>
    <s v="Paseo"/>
    <s v="Low"/>
    <n v="218"/>
    <n v="15"/>
    <n v="3270"/>
    <n v="3139.2"/>
    <n v="959.2"/>
    <s v="Sep"/>
    <n v="2019"/>
  </r>
  <r>
    <s v="Government"/>
    <x v="3"/>
    <s v="Paseo"/>
    <s v="Low"/>
    <n v="2074"/>
    <n v="20"/>
    <n v="41480"/>
    <n v="39820.800000000003"/>
    <n v="19080.8"/>
    <s v="Sep"/>
    <n v="2019"/>
  </r>
  <r>
    <s v="Government"/>
    <x v="4"/>
    <s v="Paseo"/>
    <s v="Low"/>
    <n v="1056"/>
    <n v="20"/>
    <n v="21120"/>
    <n v="20275.2"/>
    <n v="9715.2000000000007"/>
    <s v="Sep"/>
    <n v="2019"/>
  </r>
  <r>
    <s v="Midmarket"/>
    <x v="4"/>
    <s v="Paseo"/>
    <s v="Low"/>
    <n v="671"/>
    <n v="15"/>
    <n v="10065"/>
    <n v="9662.4"/>
    <n v="2952.4"/>
    <s v="Oct"/>
    <n v="2018"/>
  </r>
  <r>
    <s v="Midmarket"/>
    <x v="2"/>
    <s v="Paseo"/>
    <s v="Low"/>
    <n v="1514"/>
    <n v="15"/>
    <n v="22710"/>
    <n v="21801.599999999999"/>
    <n v="6661.6"/>
    <s v="Oct"/>
    <n v="2018"/>
  </r>
  <r>
    <s v="Government"/>
    <x v="4"/>
    <s v="Paseo"/>
    <s v="Low"/>
    <n v="274"/>
    <n v="350"/>
    <n v="95900"/>
    <n v="92064"/>
    <n v="20824"/>
    <s v="Dec"/>
    <n v="2019"/>
  </r>
  <r>
    <s v="Enterprise"/>
    <x v="2"/>
    <s v="Paseo"/>
    <s v="Low"/>
    <n v="1138"/>
    <n v="125"/>
    <n v="142250"/>
    <n v="136560"/>
    <n v="0"/>
    <s v="Dec"/>
    <n v="2019"/>
  </r>
  <r>
    <s v="Channel Partners"/>
    <x v="4"/>
    <s v="Velo"/>
    <s v="Low"/>
    <n v="1465"/>
    <n v="12"/>
    <n v="17580"/>
    <n v="16876.8"/>
    <n v="12481.8"/>
    <s v="Mar"/>
    <n v="2019"/>
  </r>
  <r>
    <s v="Government"/>
    <x v="3"/>
    <s v="Velo"/>
    <s v="Low"/>
    <n v="2646"/>
    <n v="20"/>
    <n v="52920"/>
    <n v="50803.199999999997"/>
    <n v="24343.200000000001"/>
    <s v="Sep"/>
    <n v="2018"/>
  </r>
  <r>
    <s v="Government"/>
    <x v="1"/>
    <s v="Velo"/>
    <s v="Low"/>
    <n v="2177"/>
    <n v="350"/>
    <n v="761950"/>
    <n v="731472"/>
    <n v="165452"/>
    <s v="Oct"/>
    <n v="2019"/>
  </r>
  <r>
    <s v="Channel Partners"/>
    <x v="1"/>
    <s v="VTT"/>
    <s v="Low"/>
    <n v="866"/>
    <n v="12"/>
    <n v="10392"/>
    <n v="9976.32"/>
    <n v="7378.32"/>
    <s v="May"/>
    <n v="2019"/>
  </r>
  <r>
    <s v="Government"/>
    <x v="4"/>
    <s v="VTT"/>
    <s v="Low"/>
    <n v="349"/>
    <n v="350"/>
    <n v="122150"/>
    <n v="117264"/>
    <n v="26524"/>
    <s v="Sep"/>
    <n v="2018"/>
  </r>
  <r>
    <s v="Government"/>
    <x v="1"/>
    <s v="VTT"/>
    <s v="Low"/>
    <n v="2177"/>
    <n v="350"/>
    <n v="761950"/>
    <n v="731472"/>
    <n v="165452"/>
    <s v="Oct"/>
    <n v="2019"/>
  </r>
  <r>
    <s v="Midmarket"/>
    <x v="2"/>
    <s v="VTT"/>
    <s v="Low"/>
    <n v="1514"/>
    <n v="15"/>
    <n v="22710"/>
    <n v="21801.599999999999"/>
    <n v="6661.6"/>
    <s v="Oct"/>
    <n v="2018"/>
  </r>
  <r>
    <s v="Government"/>
    <x v="2"/>
    <s v="Amarilla"/>
    <s v="Low"/>
    <n v="1865"/>
    <n v="350"/>
    <n v="652750"/>
    <n v="626640"/>
    <n v="141740"/>
    <s v="Feb"/>
    <n v="2019"/>
  </r>
  <r>
    <s v="Enterprise"/>
    <x v="2"/>
    <s v="Amarilla"/>
    <s v="Low"/>
    <n v="1074"/>
    <n v="125"/>
    <n v="134250"/>
    <n v="128880"/>
    <n v="0"/>
    <s v="Apr"/>
    <n v="2019"/>
  </r>
  <r>
    <s v="Government"/>
    <x v="0"/>
    <s v="Amarilla"/>
    <s v="Low"/>
    <n v="1907"/>
    <n v="350"/>
    <n v="667450"/>
    <n v="640752"/>
    <n v="144932"/>
    <s v="Sep"/>
    <n v="2019"/>
  </r>
  <r>
    <s v="Midmarket"/>
    <x v="4"/>
    <s v="Amarilla"/>
    <s v="Low"/>
    <n v="671"/>
    <n v="15"/>
    <n v="10065"/>
    <n v="9662.4"/>
    <n v="2952.4"/>
    <s v="Oct"/>
    <n v="2018"/>
  </r>
  <r>
    <s v="Government"/>
    <x v="3"/>
    <s v="Amarilla"/>
    <s v="Low"/>
    <n v="1778"/>
    <n v="350"/>
    <n v="622300"/>
    <n v="597408"/>
    <n v="135128"/>
    <s v="Dec"/>
    <n v="2018"/>
  </r>
  <r>
    <s v="Government"/>
    <x v="0"/>
    <s v="Montana"/>
    <s v="Medium"/>
    <n v="1159"/>
    <n v="7"/>
    <n v="8113"/>
    <n v="7707.35"/>
    <n v="1912.35"/>
    <s v="Oct"/>
    <n v="2018"/>
  </r>
  <r>
    <s v="Government"/>
    <x v="0"/>
    <s v="Paseo"/>
    <s v="Medium"/>
    <n v="1372"/>
    <n v="7"/>
    <n v="9604"/>
    <n v="9123.7999999999993"/>
    <n v="2263.8000000000002"/>
    <s v="Jan"/>
    <n v="2019"/>
  </r>
  <r>
    <s v="Government"/>
    <x v="3"/>
    <s v="Paseo"/>
    <s v="Medium"/>
    <n v="2349"/>
    <n v="7"/>
    <n v="16443"/>
    <n v="15620.85"/>
    <n v="3875.85"/>
    <s v="Sep"/>
    <n v="2018"/>
  </r>
  <r>
    <s v="Government"/>
    <x v="2"/>
    <s v="Paseo"/>
    <s v="Medium"/>
    <n v="2689"/>
    <n v="7"/>
    <n v="18823"/>
    <n v="17881.849999999999"/>
    <n v="4436.8500000000004"/>
    <s v="Oct"/>
    <n v="2019"/>
  </r>
  <r>
    <s v="Channel Partners"/>
    <x v="3"/>
    <s v="Paseo"/>
    <s v="Medium"/>
    <n v="2431"/>
    <n v="12"/>
    <n v="29172"/>
    <n v="27713.4"/>
    <n v="20420.400000000001"/>
    <s v="Dec"/>
    <n v="2019"/>
  </r>
  <r>
    <s v="Channel Partners"/>
    <x v="3"/>
    <s v="Velo"/>
    <s v="Medium"/>
    <n v="2431"/>
    <n v="12"/>
    <n v="29172"/>
    <n v="27713.4"/>
    <n v="20420.400000000001"/>
    <s v="Dec"/>
    <n v="2019"/>
  </r>
  <r>
    <s v="Government"/>
    <x v="2"/>
    <s v="VTT"/>
    <s v="Medium"/>
    <n v="2689"/>
    <n v="7"/>
    <n v="18823"/>
    <n v="17881.849999999999"/>
    <n v="4436.8500000000004"/>
    <s v="Oct"/>
    <n v="2019"/>
  </r>
  <r>
    <s v="Government"/>
    <x v="2"/>
    <s v="Amarilla"/>
    <s v="Medium"/>
    <n v="1683"/>
    <n v="7"/>
    <n v="11781"/>
    <n v="11191.95"/>
    <n v="2776.95"/>
    <s v="Jul"/>
    <n v="2019"/>
  </r>
  <r>
    <s v="Channel Partners"/>
    <x v="2"/>
    <s v="Amarilla"/>
    <s v="Medium"/>
    <n v="1123"/>
    <n v="12"/>
    <n v="13476"/>
    <n v="12802.2"/>
    <n v="9433.2000000000007"/>
    <s v="Aug"/>
    <n v="2019"/>
  </r>
  <r>
    <s v="Government"/>
    <x v="0"/>
    <s v="Amarilla"/>
    <s v="Medium"/>
    <n v="1159"/>
    <n v="7"/>
    <n v="8113"/>
    <n v="7707.35"/>
    <n v="1912.35"/>
    <s v="Oct"/>
    <n v="2018"/>
  </r>
  <r>
    <s v="Channel Partners"/>
    <x v="1"/>
    <s v="Carretera"/>
    <s v="Medium"/>
    <n v="1865"/>
    <n v="12"/>
    <n v="22380"/>
    <n v="21261"/>
    <n v="15666"/>
    <s v="Feb"/>
    <n v="2019"/>
  </r>
  <r>
    <s v="Channel Partners"/>
    <x v="0"/>
    <s v="Carretera"/>
    <s v="Medium"/>
    <n v="1116"/>
    <n v="12"/>
    <n v="13392"/>
    <n v="12722.4"/>
    <n v="9374.4"/>
    <s v="Feb"/>
    <n v="2019"/>
  </r>
  <r>
    <s v="Government"/>
    <x v="1"/>
    <s v="Carretera"/>
    <s v="Medium"/>
    <n v="1563"/>
    <n v="20"/>
    <n v="31260"/>
    <n v="29697"/>
    <n v="14067"/>
    <s v="May"/>
    <n v="2019"/>
  </r>
  <r>
    <s v="Small Business"/>
    <x v="4"/>
    <s v="Carretera"/>
    <s v="Medium"/>
    <n v="991"/>
    <n v="300"/>
    <n v="297300"/>
    <n v="282435"/>
    <n v="34685"/>
    <s v="Jun"/>
    <n v="2019"/>
  </r>
  <r>
    <s v="Government"/>
    <x v="0"/>
    <s v="Carretera"/>
    <s v="Medium"/>
    <n v="1016"/>
    <n v="7"/>
    <n v="7112"/>
    <n v="6756.4"/>
    <n v="1676.4"/>
    <s v="Nov"/>
    <n v="2018"/>
  </r>
  <r>
    <s v="Midmarket"/>
    <x v="2"/>
    <s v="Carretera"/>
    <s v="Medium"/>
    <n v="2791"/>
    <n v="15"/>
    <n v="41865"/>
    <n v="39771.75"/>
    <n v="11861.75"/>
    <s v="Nov"/>
    <n v="2019"/>
  </r>
  <r>
    <s v="Government"/>
    <x v="4"/>
    <s v="Carretera"/>
    <s v="Medium"/>
    <n v="570"/>
    <n v="7"/>
    <n v="3990"/>
    <n v="3790.5"/>
    <n v="940.5"/>
    <s v="Dec"/>
    <n v="2019"/>
  </r>
  <r>
    <s v="Government"/>
    <x v="1"/>
    <s v="Carretera"/>
    <s v="Medium"/>
    <n v="2487"/>
    <n v="7"/>
    <n v="17409"/>
    <n v="16538.55"/>
    <n v="4103.55"/>
    <s v="Dec"/>
    <n v="2019"/>
  </r>
  <r>
    <s v="Government"/>
    <x v="1"/>
    <s v="Montana"/>
    <s v="Medium"/>
    <n v="1384.5"/>
    <n v="350"/>
    <n v="484575"/>
    <n v="460346.25"/>
    <n v="100376.25"/>
    <s v="Jan"/>
    <n v="2019"/>
  </r>
  <r>
    <s v="Enterprise"/>
    <x v="4"/>
    <s v="Montana"/>
    <s v="Medium"/>
    <n v="3627"/>
    <n v="125"/>
    <n v="453375"/>
    <n v="430706.25"/>
    <n v="-4533.75"/>
    <s v="Jul"/>
    <n v="2019"/>
  </r>
  <r>
    <s v="Government"/>
    <x v="2"/>
    <s v="Montana"/>
    <s v="Medium"/>
    <n v="720"/>
    <n v="350"/>
    <n v="252000"/>
    <n v="239400"/>
    <n v="52200"/>
    <s v="Sep"/>
    <n v="2018"/>
  </r>
  <r>
    <s v="Channel Partners"/>
    <x v="0"/>
    <s v="Montana"/>
    <s v="Medium"/>
    <n v="2342"/>
    <n v="12"/>
    <n v="28104"/>
    <n v="26698.799999999999"/>
    <n v="19672.8"/>
    <s v="Nov"/>
    <n v="2019"/>
  </r>
  <r>
    <s v="Small Business"/>
    <x v="2"/>
    <s v="Montana"/>
    <s v="Medium"/>
    <n v="1100"/>
    <n v="300"/>
    <n v="330000"/>
    <n v="313500"/>
    <n v="38500"/>
    <s v="Dec"/>
    <n v="2018"/>
  </r>
  <r>
    <s v="Government"/>
    <x v="1"/>
    <s v="Paseo"/>
    <s v="Medium"/>
    <n v="1303"/>
    <n v="20"/>
    <n v="26060"/>
    <n v="24757"/>
    <n v="11727"/>
    <s v="Feb"/>
    <n v="2019"/>
  </r>
  <r>
    <s v="Enterprise"/>
    <x v="4"/>
    <s v="Paseo"/>
    <s v="Medium"/>
    <n v="2992"/>
    <n v="125"/>
    <n v="374000"/>
    <n v="355300"/>
    <n v="-3740"/>
    <s v="Mar"/>
    <n v="2019"/>
  </r>
  <r>
    <s v="Enterprise"/>
    <x v="1"/>
    <s v="Paseo"/>
    <s v="Medium"/>
    <n v="2385"/>
    <n v="125"/>
    <n v="298125"/>
    <n v="283218.75"/>
    <n v="-2981.25"/>
    <s v="Mar"/>
    <n v="2019"/>
  </r>
  <r>
    <s v="Small Business"/>
    <x v="2"/>
    <s v="Paseo"/>
    <s v="Medium"/>
    <n v="1607"/>
    <n v="300"/>
    <n v="482100"/>
    <n v="457995"/>
    <n v="56245"/>
    <s v="Apr"/>
    <n v="2019"/>
  </r>
  <r>
    <s v="Government"/>
    <x v="4"/>
    <s v="Paseo"/>
    <s v="Medium"/>
    <n v="2327"/>
    <n v="7"/>
    <n v="16289"/>
    <n v="15474.55"/>
    <n v="3839.55"/>
    <s v="May"/>
    <n v="2019"/>
  </r>
  <r>
    <s v="Small Business"/>
    <x v="4"/>
    <s v="Paseo"/>
    <s v="Medium"/>
    <n v="991"/>
    <n v="300"/>
    <n v="297300"/>
    <n v="282435"/>
    <n v="34685"/>
    <s v="Jun"/>
    <n v="2019"/>
  </r>
  <r>
    <s v="Government"/>
    <x v="4"/>
    <s v="Paseo"/>
    <s v="Medium"/>
    <n v="602"/>
    <n v="350"/>
    <n v="210700"/>
    <n v="200165"/>
    <n v="43645"/>
    <s v="Jun"/>
    <n v="2019"/>
  </r>
  <r>
    <s v="Midmarket"/>
    <x v="1"/>
    <s v="Paseo"/>
    <s v="Medium"/>
    <n v="2620"/>
    <n v="15"/>
    <n v="39300"/>
    <n v="37335"/>
    <n v="11135"/>
    <s v="Sep"/>
    <n v="2019"/>
  </r>
  <r>
    <s v="Government"/>
    <x v="3"/>
    <s v="Paseo"/>
    <s v="Medium"/>
    <n v="1228"/>
    <n v="350"/>
    <n v="429800"/>
    <n v="408310"/>
    <n v="89030"/>
    <s v="Oct"/>
    <n v="2018"/>
  </r>
  <r>
    <s v="Government"/>
    <x v="3"/>
    <s v="Paseo"/>
    <s v="Medium"/>
    <n v="1389"/>
    <n v="20"/>
    <n v="27780"/>
    <n v="26391"/>
    <n v="12501"/>
    <s v="Oct"/>
    <n v="2018"/>
  </r>
  <r>
    <s v="Enterprise"/>
    <x v="4"/>
    <s v="Paseo"/>
    <s v="Medium"/>
    <n v="861"/>
    <n v="125"/>
    <n v="107625"/>
    <n v="102243.75"/>
    <n v="-1076.25"/>
    <s v="Oct"/>
    <n v="2019"/>
  </r>
  <r>
    <s v="Enterprise"/>
    <x v="1"/>
    <s v="Paseo"/>
    <s v="Medium"/>
    <n v="704"/>
    <n v="125"/>
    <n v="88000"/>
    <n v="83600"/>
    <n v="-880"/>
    <s v="Oct"/>
    <n v="2018"/>
  </r>
  <r>
    <s v="Government"/>
    <x v="3"/>
    <s v="Paseo"/>
    <s v="Medium"/>
    <n v="1802"/>
    <n v="20"/>
    <n v="36040"/>
    <n v="34238"/>
    <n v="16218"/>
    <s v="Dec"/>
    <n v="2018"/>
  </r>
  <r>
    <s v="Government"/>
    <x v="4"/>
    <s v="Paseo"/>
    <s v="Medium"/>
    <n v="2663"/>
    <n v="20"/>
    <n v="53260"/>
    <n v="50597"/>
    <n v="23967"/>
    <s v="Dec"/>
    <n v="2019"/>
  </r>
  <r>
    <s v="Government"/>
    <x v="1"/>
    <s v="Paseo"/>
    <s v="Medium"/>
    <n v="2136"/>
    <n v="7"/>
    <n v="14952"/>
    <n v="14204.4"/>
    <n v="3524.4"/>
    <s v="Dec"/>
    <n v="2018"/>
  </r>
  <r>
    <s v="Midmarket"/>
    <x v="0"/>
    <s v="Paseo"/>
    <s v="Medium"/>
    <n v="2116"/>
    <n v="15"/>
    <n v="31740"/>
    <n v="30153"/>
    <n v="8993"/>
    <s v="Dec"/>
    <n v="2018"/>
  </r>
  <r>
    <s v="Midmarket"/>
    <x v="4"/>
    <s v="Velo"/>
    <s v="Medium"/>
    <n v="555"/>
    <n v="15"/>
    <n v="8325"/>
    <n v="7908.75"/>
    <n v="2358.75"/>
    <s v="Jan"/>
    <n v="2019"/>
  </r>
  <r>
    <s v="Midmarket"/>
    <x v="2"/>
    <s v="Velo"/>
    <s v="Medium"/>
    <n v="2861"/>
    <n v="15"/>
    <n v="42915"/>
    <n v="40769.25"/>
    <n v="12159.25"/>
    <s v="Jan"/>
    <n v="2019"/>
  </r>
  <r>
    <s v="Enterprise"/>
    <x v="0"/>
    <s v="Velo"/>
    <s v="Medium"/>
    <n v="807"/>
    <n v="125"/>
    <n v="100875"/>
    <n v="95831.25"/>
    <n v="-1008.75"/>
    <s v="Feb"/>
    <n v="2019"/>
  </r>
  <r>
    <s v="Government"/>
    <x v="4"/>
    <s v="Velo"/>
    <s v="Medium"/>
    <n v="602"/>
    <n v="350"/>
    <n v="210700"/>
    <n v="200165"/>
    <n v="43645"/>
    <s v="Jun"/>
    <n v="2019"/>
  </r>
  <r>
    <s v="Government"/>
    <x v="4"/>
    <s v="Velo"/>
    <s v="Medium"/>
    <n v="2832"/>
    <n v="20"/>
    <n v="56640"/>
    <n v="53808"/>
    <n v="25488"/>
    <s v="Aug"/>
    <n v="2019"/>
  </r>
  <r>
    <s v="Government"/>
    <x v="1"/>
    <s v="Velo"/>
    <s v="Medium"/>
    <n v="1579"/>
    <n v="20"/>
    <n v="31580"/>
    <n v="30001"/>
    <n v="14211"/>
    <s v="Aug"/>
    <n v="2019"/>
  </r>
  <r>
    <s v="Enterprise"/>
    <x v="4"/>
    <s v="Velo"/>
    <s v="Medium"/>
    <n v="861"/>
    <n v="125"/>
    <n v="107625"/>
    <n v="102243.75"/>
    <n v="-1076.25"/>
    <s v="Oct"/>
    <n v="2019"/>
  </r>
  <r>
    <s v="Enterprise"/>
    <x v="1"/>
    <s v="Velo"/>
    <s v="Medium"/>
    <n v="704"/>
    <n v="125"/>
    <n v="88000"/>
    <n v="83600"/>
    <n v="-880"/>
    <s v="Oct"/>
    <n v="2018"/>
  </r>
  <r>
    <s v="Government"/>
    <x v="1"/>
    <s v="Velo"/>
    <s v="Medium"/>
    <n v="1033"/>
    <n v="20"/>
    <n v="20660"/>
    <n v="19627"/>
    <n v="9297"/>
    <s v="Dec"/>
    <n v="2018"/>
  </r>
  <r>
    <s v="Small Business"/>
    <x v="0"/>
    <s v="Velo"/>
    <s v="Medium"/>
    <n v="1250"/>
    <n v="300"/>
    <n v="375000"/>
    <n v="356250"/>
    <n v="43750"/>
    <s v="Dec"/>
    <n v="2019"/>
  </r>
  <r>
    <s v="Government"/>
    <x v="3"/>
    <s v="VTT"/>
    <s v="Medium"/>
    <n v="1389"/>
    <n v="20"/>
    <n v="27780"/>
    <n v="26391"/>
    <n v="12501"/>
    <s v="Oct"/>
    <n v="2018"/>
  </r>
  <r>
    <s v="Government"/>
    <x v="4"/>
    <s v="VTT"/>
    <s v="Medium"/>
    <n v="1265"/>
    <n v="20"/>
    <n v="25300"/>
    <n v="24035"/>
    <n v="11385"/>
    <s v="Nov"/>
    <n v="2018"/>
  </r>
  <r>
    <s v="Government"/>
    <x v="0"/>
    <s v="VTT"/>
    <s v="Medium"/>
    <n v="2297"/>
    <n v="20"/>
    <n v="45940"/>
    <n v="43643"/>
    <n v="20673"/>
    <s v="Nov"/>
    <n v="2018"/>
  </r>
  <r>
    <s v="Government"/>
    <x v="4"/>
    <s v="VTT"/>
    <s v="Medium"/>
    <n v="2663"/>
    <n v="20"/>
    <n v="53260"/>
    <n v="50597"/>
    <n v="23967"/>
    <s v="Dec"/>
    <n v="2019"/>
  </r>
  <r>
    <s v="Government"/>
    <x v="4"/>
    <s v="VTT"/>
    <s v="Medium"/>
    <n v="570"/>
    <n v="7"/>
    <n v="3990"/>
    <n v="3790.5"/>
    <n v="940.5"/>
    <s v="Dec"/>
    <n v="2019"/>
  </r>
  <r>
    <s v="Government"/>
    <x v="1"/>
    <s v="VTT"/>
    <s v="Medium"/>
    <n v="2487"/>
    <n v="7"/>
    <n v="17409"/>
    <n v="16538.55"/>
    <n v="4103.55"/>
    <s v="Dec"/>
    <n v="2019"/>
  </r>
  <r>
    <s v="Government"/>
    <x v="0"/>
    <s v="Amarilla"/>
    <s v="Medium"/>
    <n v="1350"/>
    <n v="350"/>
    <n v="472500"/>
    <n v="448875"/>
    <n v="97875"/>
    <s v="Feb"/>
    <n v="2019"/>
  </r>
  <r>
    <s v="Government"/>
    <x v="3"/>
    <s v="Amarilla"/>
    <s v="Medium"/>
    <n v="552"/>
    <n v="350"/>
    <n v="193200"/>
    <n v="183540"/>
    <n v="40020"/>
    <s v="Aug"/>
    <n v="2019"/>
  </r>
  <r>
    <s v="Government"/>
    <x v="3"/>
    <s v="Amarilla"/>
    <s v="Medium"/>
    <n v="1228"/>
    <n v="350"/>
    <n v="429800"/>
    <n v="408310"/>
    <n v="89030"/>
    <s v="Oct"/>
    <n v="2018"/>
  </r>
  <r>
    <s v="Small Business"/>
    <x v="0"/>
    <s v="Amarilla"/>
    <s v="Medium"/>
    <n v="1250"/>
    <n v="300"/>
    <n v="375000"/>
    <n v="356250"/>
    <n v="43750"/>
    <s v="Dec"/>
    <n v="2019"/>
  </r>
  <r>
    <s v="Midmarket"/>
    <x v="1"/>
    <s v="Paseo"/>
    <s v="Medium"/>
    <n v="3801"/>
    <n v="15"/>
    <n v="57015"/>
    <n v="53594.1"/>
    <n v="15584.1"/>
    <s v="Apr"/>
    <n v="2019"/>
  </r>
  <r>
    <s v="Government"/>
    <x v="4"/>
    <s v="Carretera"/>
    <s v="Medium"/>
    <n v="1117.5"/>
    <n v="20"/>
    <n v="22350"/>
    <n v="21009"/>
    <n v="9834"/>
    <s v="Jan"/>
    <n v="2019"/>
  </r>
  <r>
    <s v="Midmarket"/>
    <x v="3"/>
    <s v="Carretera"/>
    <s v="Medium"/>
    <n v="2844"/>
    <n v="15"/>
    <n v="42660"/>
    <n v="40100.400000000001"/>
    <n v="11660.4"/>
    <s v="Jun"/>
    <n v="2019"/>
  </r>
  <r>
    <s v="Channel Partners"/>
    <x v="2"/>
    <s v="Carretera"/>
    <s v="Medium"/>
    <n v="562"/>
    <n v="12"/>
    <n v="6744"/>
    <n v="6339.36"/>
    <n v="4653.3599999999997"/>
    <s v="Sep"/>
    <n v="2019"/>
  </r>
  <r>
    <s v="Channel Partners"/>
    <x v="3"/>
    <s v="Carretera"/>
    <s v="Medium"/>
    <n v="2299"/>
    <n v="12"/>
    <n v="27588"/>
    <n v="25932.720000000001"/>
    <n v="19035.72"/>
    <s v="Oct"/>
    <n v="2018"/>
  </r>
  <r>
    <s v="Midmarket"/>
    <x v="4"/>
    <s v="Carretera"/>
    <s v="Medium"/>
    <n v="2030"/>
    <n v="15"/>
    <n v="30450"/>
    <n v="28623"/>
    <n v="8323"/>
    <s v="Nov"/>
    <n v="2019"/>
  </r>
  <r>
    <s v="Government"/>
    <x v="4"/>
    <s v="Carretera"/>
    <s v="Medium"/>
    <n v="263"/>
    <n v="7"/>
    <n v="1841"/>
    <n v="1730.54"/>
    <n v="415.54"/>
    <s v="Nov"/>
    <n v="2018"/>
  </r>
  <r>
    <s v="Enterprise"/>
    <x v="0"/>
    <s v="Carretera"/>
    <s v="Medium"/>
    <n v="887"/>
    <n v="125"/>
    <n v="110875"/>
    <n v="104222.5"/>
    <n v="-2217.5"/>
    <s v="Dec"/>
    <n v="2018"/>
  </r>
  <r>
    <s v="Government"/>
    <x v="2"/>
    <s v="Montana"/>
    <s v="Medium"/>
    <n v="980"/>
    <n v="350"/>
    <n v="343000"/>
    <n v="322420"/>
    <n v="67620"/>
    <s v="Apr"/>
    <n v="2019"/>
  </r>
  <r>
    <s v="Government"/>
    <x v="0"/>
    <s v="Montana"/>
    <s v="Medium"/>
    <n v="1460"/>
    <n v="350"/>
    <n v="511000"/>
    <n v="480340"/>
    <n v="100740"/>
    <s v="May"/>
    <n v="2019"/>
  </r>
  <r>
    <s v="Government"/>
    <x v="1"/>
    <s v="Montana"/>
    <s v="Medium"/>
    <n v="1403"/>
    <n v="7"/>
    <n v="9821"/>
    <n v="9231.74"/>
    <n v="2216.7399999999998"/>
    <s v="Oct"/>
    <n v="2018"/>
  </r>
  <r>
    <s v="Channel Partners"/>
    <x v="4"/>
    <s v="Montana"/>
    <s v="Medium"/>
    <n v="2723"/>
    <n v="12"/>
    <n v="32676"/>
    <n v="30715.439999999999"/>
    <n v="22546.44"/>
    <s v="Nov"/>
    <n v="2019"/>
  </r>
  <r>
    <s v="Government"/>
    <x v="1"/>
    <s v="Paseo"/>
    <s v="Medium"/>
    <n v="1496"/>
    <n v="350"/>
    <n v="523600"/>
    <n v="492184"/>
    <n v="103224"/>
    <s v="Jun"/>
    <n v="2019"/>
  </r>
  <r>
    <s v="Channel Partners"/>
    <x v="3"/>
    <s v="Paseo"/>
    <s v="Medium"/>
    <n v="2299"/>
    <n v="12"/>
    <n v="27588"/>
    <n v="25932.720000000001"/>
    <n v="19035.72"/>
    <s v="Oct"/>
    <n v="2018"/>
  </r>
  <r>
    <s v="Government"/>
    <x v="4"/>
    <s v="Paseo"/>
    <s v="Medium"/>
    <n v="727"/>
    <n v="350"/>
    <n v="254450"/>
    <n v="239183"/>
    <n v="50163"/>
    <s v="Oct"/>
    <n v="2018"/>
  </r>
  <r>
    <s v="Enterprise"/>
    <x v="3"/>
    <s v="Velo"/>
    <s v="Medium"/>
    <n v="952"/>
    <n v="125"/>
    <n v="119000"/>
    <n v="111860"/>
    <n v="-2380"/>
    <s v="Feb"/>
    <n v="2019"/>
  </r>
  <r>
    <s v="Enterprise"/>
    <x v="4"/>
    <s v="Velo"/>
    <s v="Medium"/>
    <n v="2755"/>
    <n v="125"/>
    <n v="344375"/>
    <n v="323712.5"/>
    <n v="-6887.5"/>
    <s v="Feb"/>
    <n v="2019"/>
  </r>
  <r>
    <s v="Midmarket"/>
    <x v="0"/>
    <s v="Velo"/>
    <s v="Medium"/>
    <n v="1530"/>
    <n v="15"/>
    <n v="22950"/>
    <n v="21573"/>
    <n v="6273"/>
    <s v="May"/>
    <n v="2019"/>
  </r>
  <r>
    <s v="Government"/>
    <x v="1"/>
    <s v="Velo"/>
    <s v="Medium"/>
    <n v="1496"/>
    <n v="350"/>
    <n v="523600"/>
    <n v="492184"/>
    <n v="103224"/>
    <s v="Jun"/>
    <n v="2019"/>
  </r>
  <r>
    <s v="Government"/>
    <x v="2"/>
    <s v="Velo"/>
    <s v="Medium"/>
    <n v="1498"/>
    <n v="7"/>
    <n v="10486"/>
    <n v="9856.84"/>
    <n v="2366.84"/>
    <s v="Jun"/>
    <n v="2019"/>
  </r>
  <r>
    <s v="Small Business"/>
    <x v="1"/>
    <s v="Velo"/>
    <s v="Medium"/>
    <n v="1221"/>
    <n v="300"/>
    <n v="366300"/>
    <n v="344322"/>
    <n v="39072"/>
    <s v="Oct"/>
    <n v="2018"/>
  </r>
  <r>
    <s v="Government"/>
    <x v="1"/>
    <s v="Velo"/>
    <s v="Medium"/>
    <n v="2076"/>
    <n v="350"/>
    <n v="726600"/>
    <n v="683004"/>
    <n v="143244"/>
    <s v="Oct"/>
    <n v="2018"/>
  </r>
  <r>
    <s v="Midmarket"/>
    <x v="3"/>
    <s v="VTT"/>
    <s v="Medium"/>
    <n v="2844"/>
    <n v="15"/>
    <n v="42660"/>
    <n v="40100.400000000001"/>
    <n v="11660.4"/>
    <s v="Jun"/>
    <n v="2019"/>
  </r>
  <r>
    <s v="Government"/>
    <x v="2"/>
    <s v="VTT"/>
    <s v="Medium"/>
    <n v="1498"/>
    <n v="7"/>
    <n v="10486"/>
    <n v="9856.84"/>
    <n v="2366.84"/>
    <s v="Jun"/>
    <n v="2019"/>
  </r>
  <r>
    <s v="Small Business"/>
    <x v="1"/>
    <s v="VTT"/>
    <s v="Medium"/>
    <n v="1221"/>
    <n v="300"/>
    <n v="366300"/>
    <n v="344322"/>
    <n v="39072"/>
    <s v="Oct"/>
    <n v="2018"/>
  </r>
  <r>
    <s v="Government"/>
    <x v="2"/>
    <s v="VTT"/>
    <s v="Medium"/>
    <n v="1123"/>
    <n v="20"/>
    <n v="22460"/>
    <n v="21112.400000000001"/>
    <n v="9882.4"/>
    <s v="Nov"/>
    <n v="2018"/>
  </r>
  <r>
    <s v="Small Business"/>
    <x v="3"/>
    <s v="VTT"/>
    <s v="Medium"/>
    <n v="2436"/>
    <n v="300"/>
    <n v="730800"/>
    <n v="686952"/>
    <n v="77952"/>
    <s v="Dec"/>
    <n v="2018"/>
  </r>
  <r>
    <s v="Enterprise"/>
    <x v="1"/>
    <s v="Amarilla"/>
    <s v="Medium"/>
    <n v="1987.5"/>
    <n v="125"/>
    <n v="248437.5"/>
    <n v="233531.25"/>
    <n v="-4968.75"/>
    <s v="Jan"/>
    <n v="2019"/>
  </r>
  <r>
    <s v="Government"/>
    <x v="2"/>
    <s v="Amarilla"/>
    <s v="Medium"/>
    <n v="1679"/>
    <n v="350"/>
    <n v="587650"/>
    <n v="552391"/>
    <n v="115851"/>
    <s v="Sep"/>
    <n v="2019"/>
  </r>
  <r>
    <s v="Government"/>
    <x v="4"/>
    <s v="Amarilla"/>
    <s v="Medium"/>
    <n v="727"/>
    <n v="350"/>
    <n v="254450"/>
    <n v="239183"/>
    <n v="50163"/>
    <s v="Oct"/>
    <n v="2018"/>
  </r>
  <r>
    <s v="Government"/>
    <x v="1"/>
    <s v="Amarilla"/>
    <s v="Medium"/>
    <n v="1403"/>
    <n v="7"/>
    <n v="9821"/>
    <n v="9231.74"/>
    <n v="2216.7399999999998"/>
    <s v="Oct"/>
    <n v="2018"/>
  </r>
  <r>
    <s v="Government"/>
    <x v="1"/>
    <s v="Amarilla"/>
    <s v="Medium"/>
    <n v="2076"/>
    <n v="350"/>
    <n v="726600"/>
    <n v="683004"/>
    <n v="143244"/>
    <s v="Oct"/>
    <n v="2018"/>
  </r>
  <r>
    <s v="Government"/>
    <x v="1"/>
    <s v="Montana"/>
    <s v="Medium"/>
    <n v="1757"/>
    <n v="20"/>
    <n v="35140"/>
    <n v="33031.599999999999"/>
    <n v="15461.6"/>
    <s v="Oct"/>
    <n v="2018"/>
  </r>
  <r>
    <s v="Midmarket"/>
    <x v="4"/>
    <s v="Paseo"/>
    <s v="Medium"/>
    <n v="2198"/>
    <n v="15"/>
    <n v="32970"/>
    <n v="30991.8"/>
    <n v="9011.7999999999993"/>
    <s v="Aug"/>
    <n v="2019"/>
  </r>
  <r>
    <s v="Midmarket"/>
    <x v="0"/>
    <s v="Paseo"/>
    <s v="Medium"/>
    <n v="1743"/>
    <n v="15"/>
    <n v="26145"/>
    <n v="24576.3"/>
    <n v="7146.3"/>
    <s v="Aug"/>
    <n v="2019"/>
  </r>
  <r>
    <s v="Midmarket"/>
    <x v="4"/>
    <s v="Paseo"/>
    <s v="Medium"/>
    <n v="1153"/>
    <n v="15"/>
    <n v="17295"/>
    <n v="16257.3"/>
    <n v="4727.3"/>
    <s v="Oct"/>
    <n v="2019"/>
  </r>
  <r>
    <s v="Government"/>
    <x v="1"/>
    <s v="Paseo"/>
    <s v="Medium"/>
    <n v="1757"/>
    <n v="20"/>
    <n v="35140"/>
    <n v="33031.599999999999"/>
    <n v="15461.6"/>
    <s v="Oct"/>
    <n v="2018"/>
  </r>
  <r>
    <s v="Government"/>
    <x v="0"/>
    <s v="Velo"/>
    <s v="Medium"/>
    <n v="1001"/>
    <n v="20"/>
    <n v="20020"/>
    <n v="18818.8"/>
    <n v="8808.7999999999993"/>
    <s v="Aug"/>
    <n v="2019"/>
  </r>
  <r>
    <s v="Government"/>
    <x v="2"/>
    <s v="Velo"/>
    <s v="Medium"/>
    <n v="1333"/>
    <n v="7"/>
    <n v="9331"/>
    <n v="8771.14"/>
    <n v="2106.14"/>
    <s v="Nov"/>
    <n v="2019"/>
  </r>
  <r>
    <s v="Midmarket"/>
    <x v="4"/>
    <s v="VTT"/>
    <s v="Medium"/>
    <n v="1153"/>
    <n v="15"/>
    <n v="17295"/>
    <n v="16257.3"/>
    <n v="4727.3"/>
    <s v="Oct"/>
    <n v="2019"/>
  </r>
  <r>
    <s v="Channel Partners"/>
    <x v="2"/>
    <s v="Carretera"/>
    <s v="Medium"/>
    <n v="727"/>
    <n v="12"/>
    <n v="8724"/>
    <n v="8113.32"/>
    <n v="5932.32"/>
    <s v="Feb"/>
    <n v="2019"/>
  </r>
  <r>
    <s v="Channel Partners"/>
    <x v="3"/>
    <s v="Carretera"/>
    <s v="Medium"/>
    <n v="1884"/>
    <n v="12"/>
    <n v="22608"/>
    <n v="21025.439999999999"/>
    <n v="15373.44"/>
    <s v="Aug"/>
    <n v="2019"/>
  </r>
  <r>
    <s v="Government"/>
    <x v="2"/>
    <s v="Carretera"/>
    <s v="Medium"/>
    <n v="1834"/>
    <n v="20"/>
    <n v="36680"/>
    <n v="34112.400000000001"/>
    <n v="15772.4"/>
    <s v="Sep"/>
    <n v="2018"/>
  </r>
  <r>
    <s v="Channel Partners"/>
    <x v="2"/>
    <s v="Montana"/>
    <s v="Medium"/>
    <n v="2340"/>
    <n v="12"/>
    <n v="28080"/>
    <n v="26114.400000000001"/>
    <n v="19094.400000000001"/>
    <s v="Jan"/>
    <n v="2019"/>
  </r>
  <r>
    <s v="Channel Partners"/>
    <x v="1"/>
    <s v="Montana"/>
    <s v="Medium"/>
    <n v="2342"/>
    <n v="12"/>
    <n v="28104"/>
    <n v="26136.720000000001"/>
    <n v="19110.72"/>
    <s v="Nov"/>
    <n v="2019"/>
  </r>
  <r>
    <s v="Government"/>
    <x v="1"/>
    <s v="Paseo"/>
    <s v="Medium"/>
    <n v="1031"/>
    <n v="7"/>
    <n v="7217"/>
    <n v="6711.81"/>
    <n v="1556.81"/>
    <s v="Sep"/>
    <n v="2018"/>
  </r>
  <r>
    <s v="Midmarket"/>
    <x v="3"/>
    <s v="Velo"/>
    <s v="Medium"/>
    <n v="1262"/>
    <n v="15"/>
    <n v="18930"/>
    <n v="17604.900000000001"/>
    <n v="4984.8999999999996"/>
    <s v="May"/>
    <n v="2019"/>
  </r>
  <r>
    <s v="Government"/>
    <x v="3"/>
    <s v="Velo"/>
    <s v="Medium"/>
    <n v="1135"/>
    <n v="7"/>
    <n v="7945"/>
    <n v="7388.85"/>
    <n v="1713.85"/>
    <s v="Jun"/>
    <n v="2019"/>
  </r>
  <r>
    <s v="Government"/>
    <x v="4"/>
    <s v="Velo"/>
    <s v="Medium"/>
    <n v="547"/>
    <n v="7"/>
    <n v="3829"/>
    <n v="3560.97"/>
    <n v="825.97"/>
    <s v="Nov"/>
    <n v="2019"/>
  </r>
  <r>
    <s v="Government"/>
    <x v="3"/>
    <s v="Velo"/>
    <s v="Medium"/>
    <n v="1582"/>
    <n v="7"/>
    <n v="11074"/>
    <n v="10298.82"/>
    <n v="2388.8200000000002"/>
    <s v="Dec"/>
    <n v="2019"/>
  </r>
  <r>
    <s v="Channel Partners"/>
    <x v="1"/>
    <s v="VTT"/>
    <s v="Medium"/>
    <n v="1738.5"/>
    <n v="12"/>
    <n v="20862"/>
    <n v="19401.66"/>
    <n v="14186.16"/>
    <s v="Apr"/>
    <n v="2019"/>
  </r>
  <r>
    <s v="Channel Partners"/>
    <x v="0"/>
    <s v="VTT"/>
    <s v="Medium"/>
    <n v="2215"/>
    <n v="12"/>
    <n v="26580"/>
    <n v="24719.4"/>
    <n v="18074.400000000001"/>
    <s v="Sep"/>
    <n v="2018"/>
  </r>
  <r>
    <s v="Government"/>
    <x v="3"/>
    <s v="VTT"/>
    <s v="Medium"/>
    <n v="1582"/>
    <n v="7"/>
    <n v="11074"/>
    <n v="10298.82"/>
    <n v="2388.8200000000002"/>
    <s v="Dec"/>
    <n v="2019"/>
  </r>
  <r>
    <s v="Government"/>
    <x v="3"/>
    <s v="Amarilla"/>
    <s v="Medium"/>
    <n v="1135"/>
    <n v="7"/>
    <n v="7945"/>
    <n v="7388.85"/>
    <n v="1713.85"/>
    <s v="Jun"/>
    <n v="2019"/>
  </r>
  <r>
    <s v="Government"/>
    <x v="4"/>
    <s v="Carretera"/>
    <s v="Medium"/>
    <n v="1761"/>
    <n v="350"/>
    <n v="616350"/>
    <n v="573205.5"/>
    <n v="115345.5"/>
    <s v="Mar"/>
    <n v="2019"/>
  </r>
  <r>
    <s v="Small Business"/>
    <x v="1"/>
    <s v="Carretera"/>
    <s v="Medium"/>
    <n v="448"/>
    <n v="300"/>
    <n v="134400"/>
    <n v="124992"/>
    <n v="12992"/>
    <s v="Jun"/>
    <n v="2019"/>
  </r>
  <r>
    <s v="Small Business"/>
    <x v="1"/>
    <s v="Carretera"/>
    <s v="Medium"/>
    <n v="2181"/>
    <n v="300"/>
    <n v="654300"/>
    <n v="608499"/>
    <n v="63249"/>
    <s v="Oct"/>
    <n v="2019"/>
  </r>
  <r>
    <s v="Government"/>
    <x v="1"/>
    <s v="Montana"/>
    <s v="Medium"/>
    <n v="1976"/>
    <n v="20"/>
    <n v="39520"/>
    <n v="36753.599999999999"/>
    <n v="16993.599999999999"/>
    <s v="Oct"/>
    <n v="2019"/>
  </r>
  <r>
    <s v="Small Business"/>
    <x v="1"/>
    <s v="Montana"/>
    <s v="Medium"/>
    <n v="2181"/>
    <n v="300"/>
    <n v="654300"/>
    <n v="608499"/>
    <n v="63249"/>
    <s v="Oct"/>
    <n v="2019"/>
  </r>
  <r>
    <s v="Enterprise"/>
    <x v="0"/>
    <s v="Montana"/>
    <s v="Medium"/>
    <n v="2500"/>
    <n v="125"/>
    <n v="312500"/>
    <n v="290625"/>
    <n v="-9375"/>
    <s v="Nov"/>
    <n v="2018"/>
  </r>
  <r>
    <s v="Small Business"/>
    <x v="3"/>
    <s v="Paseo"/>
    <s v="Medium"/>
    <n v="1702"/>
    <n v="300"/>
    <n v="510600"/>
    <n v="474858"/>
    <n v="49358"/>
    <s v="May"/>
    <n v="2019"/>
  </r>
  <r>
    <s v="Small Business"/>
    <x v="1"/>
    <s v="Paseo"/>
    <s v="Medium"/>
    <n v="448"/>
    <n v="300"/>
    <n v="134400"/>
    <n v="124992"/>
    <n v="12992"/>
    <s v="Jun"/>
    <n v="2019"/>
  </r>
  <r>
    <s v="Enterprise"/>
    <x v="0"/>
    <s v="Paseo"/>
    <s v="Medium"/>
    <n v="3513"/>
    <n v="125"/>
    <n v="439125"/>
    <n v="408386.25"/>
    <n v="-13173.75"/>
    <s v="Jul"/>
    <n v="2019"/>
  </r>
  <r>
    <s v="Midmarket"/>
    <x v="1"/>
    <s v="Paseo"/>
    <s v="Medium"/>
    <n v="2101"/>
    <n v="15"/>
    <n v="31515"/>
    <n v="29308.95"/>
    <n v="8298.9500000000007"/>
    <s v="Aug"/>
    <n v="2019"/>
  </r>
  <r>
    <s v="Midmarket"/>
    <x v="4"/>
    <s v="Paseo"/>
    <s v="Medium"/>
    <n v="2931"/>
    <n v="15"/>
    <n v="43965"/>
    <n v="40887.449999999997"/>
    <n v="11577.45"/>
    <s v="Sep"/>
    <n v="2018"/>
  </r>
  <r>
    <s v="Government"/>
    <x v="1"/>
    <s v="Paseo"/>
    <s v="Medium"/>
    <n v="1535"/>
    <n v="20"/>
    <n v="30700"/>
    <n v="28551"/>
    <n v="13201"/>
    <s v="Sep"/>
    <n v="2019"/>
  </r>
  <r>
    <s v="Small Business"/>
    <x v="0"/>
    <s v="Paseo"/>
    <s v="Medium"/>
    <n v="1123"/>
    <n v="300"/>
    <n v="336900"/>
    <n v="313317"/>
    <n v="32567"/>
    <s v="Sep"/>
    <n v="2018"/>
  </r>
  <r>
    <s v="Small Business"/>
    <x v="3"/>
    <s v="Paseo"/>
    <s v="Medium"/>
    <n v="1404"/>
    <n v="300"/>
    <n v="421200"/>
    <n v="391716"/>
    <n v="40716"/>
    <s v="Nov"/>
    <n v="2018"/>
  </r>
  <r>
    <s v="Channel Partners"/>
    <x v="2"/>
    <s v="Paseo"/>
    <s v="Medium"/>
    <n v="2763"/>
    <n v="12"/>
    <n v="33156"/>
    <n v="30835.08"/>
    <n v="22546.080000000002"/>
    <s v="Nov"/>
    <n v="2018"/>
  </r>
  <r>
    <s v="Government"/>
    <x v="0"/>
    <s v="Paseo"/>
    <s v="Medium"/>
    <n v="2125"/>
    <n v="7"/>
    <n v="14875"/>
    <n v="13833.75"/>
    <n v="3208.75"/>
    <s v="Dec"/>
    <n v="2018"/>
  </r>
  <r>
    <s v="Small Business"/>
    <x v="1"/>
    <s v="Velo"/>
    <s v="Medium"/>
    <n v="1659"/>
    <n v="300"/>
    <n v="497700"/>
    <n v="462861"/>
    <n v="48111"/>
    <s v="Jul"/>
    <n v="2019"/>
  </r>
  <r>
    <s v="Government"/>
    <x v="2"/>
    <s v="Velo"/>
    <s v="Medium"/>
    <n v="609"/>
    <n v="20"/>
    <n v="12180"/>
    <n v="11327.4"/>
    <n v="5237.3999999999996"/>
    <s v="Aug"/>
    <n v="2019"/>
  </r>
  <r>
    <s v="Enterprise"/>
    <x v="0"/>
    <s v="Velo"/>
    <s v="Medium"/>
    <n v="2087"/>
    <n v="125"/>
    <n v="260875"/>
    <n v="242613.75"/>
    <n v="-7826.25"/>
    <s v="Sep"/>
    <n v="2019"/>
  </r>
  <r>
    <s v="Government"/>
    <x v="1"/>
    <s v="Velo"/>
    <s v="Medium"/>
    <n v="1976"/>
    <n v="20"/>
    <n v="39520"/>
    <n v="36753.599999999999"/>
    <n v="16993.599999999999"/>
    <s v="Oct"/>
    <n v="2019"/>
  </r>
  <r>
    <s v="Government"/>
    <x v="4"/>
    <s v="Velo"/>
    <s v="Medium"/>
    <n v="1421"/>
    <n v="20"/>
    <n v="28420"/>
    <n v="26430.6"/>
    <n v="12220.6"/>
    <s v="Dec"/>
    <n v="2018"/>
  </r>
  <r>
    <s v="Small Business"/>
    <x v="4"/>
    <s v="Velo"/>
    <s v="Medium"/>
    <n v="1372"/>
    <n v="300"/>
    <n v="411600"/>
    <n v="382788"/>
    <n v="39788"/>
    <s v="Dec"/>
    <n v="2019"/>
  </r>
  <r>
    <s v="Government"/>
    <x v="0"/>
    <s v="Velo"/>
    <s v="Medium"/>
    <n v="588"/>
    <n v="20"/>
    <n v="11760"/>
    <n v="10936.8"/>
    <n v="5056.8"/>
    <s v="Dec"/>
    <n v="2018"/>
  </r>
  <r>
    <s v="Channel Partners"/>
    <x v="3"/>
    <s v="VTT"/>
    <s v="Medium"/>
    <n v="3244.5"/>
    <n v="12"/>
    <n v="38934"/>
    <n v="36208.620000000003"/>
    <n v="26475.119999999999"/>
    <s v="Jan"/>
    <n v="2019"/>
  </r>
  <r>
    <s v="Small Business"/>
    <x v="1"/>
    <s v="VTT"/>
    <s v="Medium"/>
    <n v="959"/>
    <n v="300"/>
    <n v="287700"/>
    <n v="267561"/>
    <n v="27811"/>
    <s v="Feb"/>
    <n v="2019"/>
  </r>
  <r>
    <s v="Small Business"/>
    <x v="2"/>
    <s v="VTT"/>
    <s v="Medium"/>
    <n v="2747"/>
    <n v="300"/>
    <n v="824100"/>
    <n v="766413"/>
    <n v="79663"/>
    <s v="Feb"/>
    <n v="2019"/>
  </r>
  <r>
    <s v="Enterprise"/>
    <x v="3"/>
    <s v="Amarilla"/>
    <s v="Medium"/>
    <n v="1645"/>
    <n v="125"/>
    <n v="205625"/>
    <n v="191231.25"/>
    <n v="-6168.75"/>
    <s v="May"/>
    <n v="2019"/>
  </r>
  <r>
    <s v="Government"/>
    <x v="1"/>
    <s v="Amarilla"/>
    <s v="Medium"/>
    <n v="2876"/>
    <n v="350"/>
    <n v="1006600"/>
    <n v="936138"/>
    <n v="188378"/>
    <s v="Sep"/>
    <n v="2019"/>
  </r>
  <r>
    <s v="Enterprise"/>
    <x v="0"/>
    <s v="Amarilla"/>
    <s v="Medium"/>
    <n v="994"/>
    <n v="125"/>
    <n v="124250"/>
    <n v="115552.5"/>
    <n v="-3727.5"/>
    <s v="Sep"/>
    <n v="2018"/>
  </r>
  <r>
    <s v="Government"/>
    <x v="3"/>
    <s v="Amarilla"/>
    <s v="Medium"/>
    <n v="1118"/>
    <n v="20"/>
    <n v="22360"/>
    <n v="20794.8"/>
    <n v="9614.7999999999993"/>
    <s v="Nov"/>
    <n v="2019"/>
  </r>
  <r>
    <s v="Small Business"/>
    <x v="4"/>
    <s v="Amarilla"/>
    <s v="Medium"/>
    <n v="1372"/>
    <n v="300"/>
    <n v="411600"/>
    <n v="382788"/>
    <n v="39788"/>
    <s v="Dec"/>
    <n v="2019"/>
  </r>
  <r>
    <s v="Government"/>
    <x v="3"/>
    <s v="Montana"/>
    <s v="Medium"/>
    <n v="488"/>
    <n v="7"/>
    <n v="3416"/>
    <n v="3142.72"/>
    <n v="702.72"/>
    <s v="Feb"/>
    <n v="2019"/>
  </r>
  <r>
    <s v="Government"/>
    <x v="4"/>
    <s v="Montana"/>
    <s v="Medium"/>
    <n v="1282"/>
    <n v="20"/>
    <n v="25640"/>
    <n v="23588.799999999999"/>
    <n v="10768.8"/>
    <s v="Jun"/>
    <n v="2019"/>
  </r>
  <r>
    <s v="Government"/>
    <x v="3"/>
    <s v="Paseo"/>
    <s v="Medium"/>
    <n v="257"/>
    <n v="7"/>
    <n v="1799"/>
    <n v="1655.08"/>
    <n v="370.08"/>
    <s v="May"/>
    <n v="2019"/>
  </r>
  <r>
    <s v="Government"/>
    <x v="4"/>
    <s v="Amarilla"/>
    <s v="Medium"/>
    <n v="1282"/>
    <n v="20"/>
    <n v="25640"/>
    <n v="23588.799999999999"/>
    <n v="10768.8"/>
    <s v="Jun"/>
    <n v="2019"/>
  </r>
  <r>
    <s v="Enterprise"/>
    <x v="2"/>
    <s v="Carretera"/>
    <s v="Medium"/>
    <n v="1540"/>
    <n v="125"/>
    <n v="192500"/>
    <n v="177100"/>
    <n v="-7700"/>
    <s v="Aug"/>
    <n v="2019"/>
  </r>
  <r>
    <s v="Midmarket"/>
    <x v="1"/>
    <s v="Carretera"/>
    <s v="Medium"/>
    <n v="490"/>
    <n v="15"/>
    <n v="7350"/>
    <n v="6762"/>
    <n v="1862"/>
    <s v="Nov"/>
    <n v="2019"/>
  </r>
  <r>
    <s v="Government"/>
    <x v="2"/>
    <s v="Carretera"/>
    <s v="Medium"/>
    <n v="1362"/>
    <n v="350"/>
    <n v="476700"/>
    <n v="438564"/>
    <n v="84444"/>
    <s v="Dec"/>
    <n v="2019"/>
  </r>
  <r>
    <s v="Midmarket"/>
    <x v="1"/>
    <s v="Montana"/>
    <s v="Medium"/>
    <n v="2501"/>
    <n v="15"/>
    <n v="37515"/>
    <n v="34513.800000000003"/>
    <n v="9503.7999999999993"/>
    <s v="Mar"/>
    <n v="2019"/>
  </r>
  <r>
    <s v="Government"/>
    <x v="3"/>
    <s v="Montana"/>
    <s v="Medium"/>
    <n v="708"/>
    <n v="20"/>
    <n v="14160"/>
    <n v="13027.2"/>
    <n v="5947.2"/>
    <s v="Jun"/>
    <n v="2019"/>
  </r>
  <r>
    <s v="Government"/>
    <x v="0"/>
    <s v="Montana"/>
    <s v="Medium"/>
    <n v="645"/>
    <n v="20"/>
    <n v="12900"/>
    <n v="11868"/>
    <n v="5418"/>
    <s v="Jul"/>
    <n v="2019"/>
  </r>
  <r>
    <s v="Small Business"/>
    <x v="1"/>
    <s v="Montana"/>
    <s v="Medium"/>
    <n v="1562"/>
    <n v="300"/>
    <n v="468600"/>
    <n v="431112"/>
    <n v="40612"/>
    <s v="Aug"/>
    <n v="2019"/>
  </r>
  <r>
    <s v="Small Business"/>
    <x v="3"/>
    <s v="Montana"/>
    <s v="Medium"/>
    <n v="1283"/>
    <n v="300"/>
    <n v="384900"/>
    <n v="354108"/>
    <n v="33358"/>
    <s v="Sep"/>
    <n v="2018"/>
  </r>
  <r>
    <s v="Midmarket"/>
    <x v="0"/>
    <s v="Montana"/>
    <s v="Medium"/>
    <n v="711"/>
    <n v="15"/>
    <n v="10665"/>
    <n v="9811.7999999999993"/>
    <n v="2701.8"/>
    <s v="Dec"/>
    <n v="2019"/>
  </r>
  <r>
    <s v="Enterprise"/>
    <x v="2"/>
    <s v="Paseo"/>
    <s v="Medium"/>
    <n v="1114"/>
    <n v="125"/>
    <n v="139250"/>
    <n v="128110"/>
    <n v="-5570"/>
    <s v="Mar"/>
    <n v="2019"/>
  </r>
  <r>
    <s v="Government"/>
    <x v="0"/>
    <s v="Paseo"/>
    <s v="Medium"/>
    <n v="1259"/>
    <n v="7"/>
    <n v="8813"/>
    <n v="8107.96"/>
    <n v="1812.96"/>
    <s v="Apr"/>
    <n v="2019"/>
  </r>
  <r>
    <s v="Government"/>
    <x v="0"/>
    <s v="Paseo"/>
    <s v="Medium"/>
    <n v="1095"/>
    <n v="7"/>
    <n v="7665"/>
    <n v="7051.8"/>
    <n v="1576.8"/>
    <s v="May"/>
    <n v="2019"/>
  </r>
  <r>
    <s v="Government"/>
    <x v="0"/>
    <s v="Paseo"/>
    <s v="Medium"/>
    <n v="1366"/>
    <n v="20"/>
    <n v="27320"/>
    <n v="25134.400000000001"/>
    <n v="11474.4"/>
    <s v="Jun"/>
    <n v="2019"/>
  </r>
  <r>
    <s v="Small Business"/>
    <x v="2"/>
    <s v="Paseo"/>
    <s v="Medium"/>
    <n v="2460"/>
    <n v="300"/>
    <n v="738000"/>
    <n v="678960"/>
    <n v="63960"/>
    <s v="Jun"/>
    <n v="2019"/>
  </r>
  <r>
    <s v="Government"/>
    <x v="4"/>
    <s v="Paseo"/>
    <s v="Medium"/>
    <n v="678"/>
    <n v="7"/>
    <n v="4746"/>
    <n v="4366.32"/>
    <n v="976.32"/>
    <s v="Aug"/>
    <n v="2019"/>
  </r>
  <r>
    <s v="Government"/>
    <x v="0"/>
    <s v="Paseo"/>
    <s v="Medium"/>
    <n v="1598"/>
    <n v="7"/>
    <n v="11186"/>
    <n v="10291.120000000001"/>
    <n v="2301.12"/>
    <s v="Aug"/>
    <n v="2019"/>
  </r>
  <r>
    <s v="Government"/>
    <x v="0"/>
    <s v="Paseo"/>
    <s v="Medium"/>
    <n v="2409"/>
    <n v="7"/>
    <n v="16863"/>
    <n v="15513.96"/>
    <n v="3468.96"/>
    <s v="Sep"/>
    <n v="2018"/>
  </r>
  <r>
    <s v="Government"/>
    <x v="0"/>
    <s v="Paseo"/>
    <s v="Medium"/>
    <n v="1934"/>
    <n v="20"/>
    <n v="38680"/>
    <n v="35585.599999999999"/>
    <n v="16245.6"/>
    <s v="Sep"/>
    <n v="2019"/>
  </r>
  <r>
    <s v="Government"/>
    <x v="2"/>
    <s v="Paseo"/>
    <s v="Medium"/>
    <n v="2993"/>
    <n v="20"/>
    <n v="59860"/>
    <n v="55071.199999999997"/>
    <n v="25141.200000000001"/>
    <s v="Sep"/>
    <n v="2019"/>
  </r>
  <r>
    <s v="Government"/>
    <x v="0"/>
    <s v="Paseo"/>
    <s v="Medium"/>
    <n v="2146"/>
    <n v="350"/>
    <n v="751100"/>
    <n v="691012"/>
    <n v="133052"/>
    <s v="Nov"/>
    <n v="2018"/>
  </r>
  <r>
    <s v="Government"/>
    <x v="2"/>
    <s v="Paseo"/>
    <s v="Medium"/>
    <n v="1946"/>
    <n v="7"/>
    <n v="13622"/>
    <n v="12532.24"/>
    <n v="2802.24"/>
    <s v="Dec"/>
    <n v="2018"/>
  </r>
  <r>
    <s v="Government"/>
    <x v="2"/>
    <s v="Paseo"/>
    <s v="Medium"/>
    <n v="1362"/>
    <n v="350"/>
    <n v="476700"/>
    <n v="438564"/>
    <n v="84444"/>
    <s v="Dec"/>
    <n v="2019"/>
  </r>
  <r>
    <s v="Channel Partners"/>
    <x v="3"/>
    <s v="Velo"/>
    <s v="Medium"/>
    <n v="598"/>
    <n v="12"/>
    <n v="7176"/>
    <n v="6601.92"/>
    <n v="4807.92"/>
    <s v="Mar"/>
    <n v="2019"/>
  </r>
  <r>
    <s v="Government"/>
    <x v="4"/>
    <s v="Velo"/>
    <s v="Medium"/>
    <n v="2907"/>
    <n v="7"/>
    <n v="20349"/>
    <n v="18721.080000000002"/>
    <n v="4186.08"/>
    <s v="Jun"/>
    <n v="2019"/>
  </r>
  <r>
    <s v="Government"/>
    <x v="0"/>
    <s v="Velo"/>
    <s v="Medium"/>
    <n v="2338"/>
    <n v="7"/>
    <n v="16366"/>
    <n v="15056.72"/>
    <n v="3366.72"/>
    <s v="Jun"/>
    <n v="2019"/>
  </r>
  <r>
    <s v="Small Business"/>
    <x v="1"/>
    <s v="Velo"/>
    <s v="Medium"/>
    <n v="386"/>
    <n v="300"/>
    <n v="115800"/>
    <n v="106536"/>
    <n v="10036"/>
    <s v="Nov"/>
    <n v="2018"/>
  </r>
  <r>
    <s v="Small Business"/>
    <x v="2"/>
    <s v="Velo"/>
    <s v="Medium"/>
    <n v="635"/>
    <n v="300"/>
    <n v="190500"/>
    <n v="175260"/>
    <n v="16510"/>
    <s v="Dec"/>
    <n v="2019"/>
  </r>
  <r>
    <s v="Government"/>
    <x v="1"/>
    <s v="VTT"/>
    <s v="Medium"/>
    <n v="574.5"/>
    <n v="350"/>
    <n v="201075"/>
    <n v="184989"/>
    <n v="35619"/>
    <s v="Apr"/>
    <n v="2019"/>
  </r>
  <r>
    <s v="Government"/>
    <x v="0"/>
    <s v="VTT"/>
    <s v="Medium"/>
    <n v="2338"/>
    <n v="7"/>
    <n v="16366"/>
    <n v="15056.72"/>
    <n v="3366.72"/>
    <s v="Jun"/>
    <n v="2019"/>
  </r>
  <r>
    <s v="Government"/>
    <x v="1"/>
    <s v="VTT"/>
    <s v="Medium"/>
    <n v="381"/>
    <n v="350"/>
    <n v="133350"/>
    <n v="122682"/>
    <n v="23622"/>
    <s v="Aug"/>
    <n v="2019"/>
  </r>
  <r>
    <s v="Government"/>
    <x v="0"/>
    <s v="VTT"/>
    <s v="Medium"/>
    <n v="422"/>
    <n v="350"/>
    <n v="147700"/>
    <n v="135884"/>
    <n v="26164"/>
    <s v="Aug"/>
    <n v="2019"/>
  </r>
  <r>
    <s v="Small Business"/>
    <x v="3"/>
    <s v="VTT"/>
    <s v="Medium"/>
    <n v="2134"/>
    <n v="300"/>
    <n v="640200"/>
    <n v="588984"/>
    <n v="55484"/>
    <s v="Sep"/>
    <n v="2019"/>
  </r>
  <r>
    <s v="Small Business"/>
    <x v="4"/>
    <s v="VTT"/>
    <s v="Medium"/>
    <n v="808"/>
    <n v="300"/>
    <n v="242400"/>
    <n v="223008"/>
    <n v="21008"/>
    <s v="Dec"/>
    <n v="2018"/>
  </r>
  <r>
    <s v="Government"/>
    <x v="3"/>
    <s v="Amarilla"/>
    <s v="Medium"/>
    <n v="708"/>
    <n v="20"/>
    <n v="14160"/>
    <n v="13027.2"/>
    <n v="5947.2"/>
    <s v="Jun"/>
    <n v="2019"/>
  </r>
  <r>
    <s v="Government"/>
    <x v="4"/>
    <s v="Amarilla"/>
    <s v="Medium"/>
    <n v="2907"/>
    <n v="7"/>
    <n v="20349"/>
    <n v="18721.080000000002"/>
    <n v="4186.08"/>
    <s v="Jun"/>
    <n v="2019"/>
  </r>
  <r>
    <s v="Government"/>
    <x v="0"/>
    <s v="Amarilla"/>
    <s v="Medium"/>
    <n v="1366"/>
    <n v="20"/>
    <n v="27320"/>
    <n v="25134.400000000001"/>
    <n v="11474.4"/>
    <s v="Jun"/>
    <n v="2019"/>
  </r>
  <r>
    <s v="Small Business"/>
    <x v="2"/>
    <s v="Amarilla"/>
    <s v="Medium"/>
    <n v="2460"/>
    <n v="300"/>
    <n v="738000"/>
    <n v="678960"/>
    <n v="63960"/>
    <s v="Jun"/>
    <n v="2019"/>
  </r>
  <r>
    <s v="Government"/>
    <x v="0"/>
    <s v="Amarilla"/>
    <s v="Medium"/>
    <n v="1520"/>
    <n v="20"/>
    <n v="30400"/>
    <n v="27968"/>
    <n v="12768"/>
    <s v="Nov"/>
    <n v="2019"/>
  </r>
  <r>
    <s v="Midmarket"/>
    <x v="0"/>
    <s v="Amarilla"/>
    <s v="Medium"/>
    <n v="711"/>
    <n v="15"/>
    <n v="10665"/>
    <n v="9811.7999999999993"/>
    <n v="2701.8"/>
    <s v="Dec"/>
    <n v="2019"/>
  </r>
  <r>
    <s v="Channel Partners"/>
    <x v="2"/>
    <s v="Amarilla"/>
    <s v="Medium"/>
    <n v="1375"/>
    <n v="12"/>
    <n v="16500"/>
    <n v="15180"/>
    <n v="11055"/>
    <s v="Dec"/>
    <n v="2018"/>
  </r>
  <r>
    <s v="Small Business"/>
    <x v="2"/>
    <s v="Amarilla"/>
    <s v="Medium"/>
    <n v="635"/>
    <n v="300"/>
    <n v="190500"/>
    <n v="175260"/>
    <n v="16510"/>
    <s v="Dec"/>
    <n v="2019"/>
  </r>
  <r>
    <s v="Government"/>
    <x v="4"/>
    <s v="VTT"/>
    <s v="Medium"/>
    <n v="436.5"/>
    <n v="20"/>
    <n v="8730"/>
    <n v="8031.6"/>
    <n v="3666.6"/>
    <s v="Jul"/>
    <n v="2019"/>
  </r>
  <r>
    <s v="Small Business"/>
    <x v="3"/>
    <s v="Carretera"/>
    <s v="Medium"/>
    <n v="1094"/>
    <n v="300"/>
    <n v="328200"/>
    <n v="298662"/>
    <n v="25162"/>
    <s v="Jun"/>
    <n v="2019"/>
  </r>
  <r>
    <s v="Channel Partners"/>
    <x v="2"/>
    <s v="Carretera"/>
    <s v="Medium"/>
    <n v="367"/>
    <n v="12"/>
    <n v="4404"/>
    <n v="4007.64"/>
    <n v="2906.64"/>
    <s v="Oct"/>
    <n v="2018"/>
  </r>
  <r>
    <s v="Small Business"/>
    <x v="3"/>
    <s v="Montana"/>
    <s v="Medium"/>
    <n v="3802.5"/>
    <n v="300"/>
    <n v="1140750"/>
    <n v="1038082.5"/>
    <n v="87457.5"/>
    <s v="Apr"/>
    <n v="2019"/>
  </r>
  <r>
    <s v="Government"/>
    <x v="1"/>
    <s v="Montana"/>
    <s v="Medium"/>
    <n v="1666"/>
    <n v="350"/>
    <n v="583100"/>
    <n v="530621"/>
    <n v="97461"/>
    <s v="May"/>
    <n v="2019"/>
  </r>
  <r>
    <s v="Small Business"/>
    <x v="1"/>
    <s v="Montana"/>
    <s v="Medium"/>
    <n v="322"/>
    <n v="300"/>
    <n v="96600"/>
    <n v="87906"/>
    <n v="7406"/>
    <s v="Sep"/>
    <n v="2018"/>
  </r>
  <r>
    <s v="Channel Partners"/>
    <x v="3"/>
    <s v="Montana"/>
    <s v="Medium"/>
    <n v="2321"/>
    <n v="12"/>
    <n v="27852"/>
    <n v="25345.32"/>
    <n v="18382.32"/>
    <s v="Nov"/>
    <n v="2019"/>
  </r>
  <r>
    <s v="Enterprise"/>
    <x v="1"/>
    <s v="Montana"/>
    <s v="Medium"/>
    <n v="1857"/>
    <n v="125"/>
    <n v="232125"/>
    <n v="211233.75"/>
    <n v="-11606.25"/>
    <s v="Nov"/>
    <n v="2018"/>
  </r>
  <r>
    <s v="Government"/>
    <x v="3"/>
    <s v="Montana"/>
    <s v="Medium"/>
    <n v="1611"/>
    <n v="7"/>
    <n v="11277"/>
    <n v="10262.07"/>
    <n v="2207.0700000000002"/>
    <s v="Dec"/>
    <n v="2018"/>
  </r>
  <r>
    <s v="Enterprise"/>
    <x v="4"/>
    <s v="Montana"/>
    <s v="Medium"/>
    <n v="2797"/>
    <n v="125"/>
    <n v="349625"/>
    <n v="318158.75"/>
    <n v="-17481.25"/>
    <s v="Dec"/>
    <n v="2019"/>
  </r>
  <r>
    <s v="Small Business"/>
    <x v="0"/>
    <s v="Montana"/>
    <s v="Medium"/>
    <n v="334"/>
    <n v="300"/>
    <n v="100200"/>
    <n v="91182"/>
    <n v="7682"/>
    <s v="Dec"/>
    <n v="2018"/>
  </r>
  <r>
    <s v="Small Business"/>
    <x v="2"/>
    <s v="Paseo"/>
    <s v="Medium"/>
    <n v="2565"/>
    <n v="300"/>
    <n v="769500"/>
    <n v="700245"/>
    <n v="58995"/>
    <s v="Jan"/>
    <n v="2019"/>
  </r>
  <r>
    <s v="Government"/>
    <x v="2"/>
    <s v="Paseo"/>
    <s v="Medium"/>
    <n v="2417"/>
    <n v="350"/>
    <n v="845950"/>
    <n v="769814.5"/>
    <n v="141394.5"/>
    <s v="Jan"/>
    <n v="2019"/>
  </r>
  <r>
    <s v="Midmarket"/>
    <x v="4"/>
    <s v="Paseo"/>
    <s v="Medium"/>
    <n v="3675"/>
    <n v="15"/>
    <n v="55125"/>
    <n v="50163.75"/>
    <n v="13413.75"/>
    <s v="Apr"/>
    <n v="2019"/>
  </r>
  <r>
    <s v="Small Business"/>
    <x v="3"/>
    <s v="Paseo"/>
    <s v="Medium"/>
    <n v="1094"/>
    <n v="300"/>
    <n v="328200"/>
    <n v="298662"/>
    <n v="25162"/>
    <s v="Jun"/>
    <n v="2019"/>
  </r>
  <r>
    <s v="Midmarket"/>
    <x v="1"/>
    <s v="Paseo"/>
    <s v="Medium"/>
    <n v="1227"/>
    <n v="15"/>
    <n v="18405"/>
    <n v="16748.55"/>
    <n v="4478.55"/>
    <s v="Oct"/>
    <n v="2019"/>
  </r>
  <r>
    <s v="Channel Partners"/>
    <x v="2"/>
    <s v="Paseo"/>
    <s v="Medium"/>
    <n v="367"/>
    <n v="12"/>
    <n v="4404"/>
    <n v="4007.64"/>
    <n v="2906.64"/>
    <s v="Oct"/>
    <n v="2018"/>
  </r>
  <r>
    <s v="Small Business"/>
    <x v="1"/>
    <s v="Paseo"/>
    <s v="Medium"/>
    <n v="1324"/>
    <n v="300"/>
    <n v="397200"/>
    <n v="361452"/>
    <n v="30452"/>
    <s v="Nov"/>
    <n v="2019"/>
  </r>
  <r>
    <s v="Channel Partners"/>
    <x v="0"/>
    <s v="Paseo"/>
    <s v="Medium"/>
    <n v="1775"/>
    <n v="12"/>
    <n v="21300"/>
    <n v="19383"/>
    <n v="14058"/>
    <s v="Nov"/>
    <n v="2018"/>
  </r>
  <r>
    <s v="Enterprise"/>
    <x v="4"/>
    <s v="Paseo"/>
    <s v="Medium"/>
    <n v="2797"/>
    <n v="125"/>
    <n v="349625"/>
    <n v="318158.75"/>
    <n v="-17481.25"/>
    <s v="Dec"/>
    <n v="2019"/>
  </r>
  <r>
    <s v="Midmarket"/>
    <x v="2"/>
    <s v="Velo"/>
    <s v="Medium"/>
    <n v="245"/>
    <n v="15"/>
    <n v="3675"/>
    <n v="3344.25"/>
    <n v="894.25"/>
    <s v="May"/>
    <n v="2019"/>
  </r>
  <r>
    <s v="Small Business"/>
    <x v="3"/>
    <s v="Velo"/>
    <s v="Medium"/>
    <n v="3793.5"/>
    <n v="300"/>
    <n v="1138050"/>
    <n v="1035625.5"/>
    <n v="87250.5"/>
    <s v="Jul"/>
    <n v="2019"/>
  </r>
  <r>
    <s v="Government"/>
    <x v="0"/>
    <s v="Velo"/>
    <s v="Medium"/>
    <n v="1307"/>
    <n v="350"/>
    <n v="457450"/>
    <n v="416279.5"/>
    <n v="76459.5"/>
    <s v="Jul"/>
    <n v="2019"/>
  </r>
  <r>
    <s v="Enterprise"/>
    <x v="3"/>
    <s v="Velo"/>
    <s v="Medium"/>
    <n v="567"/>
    <n v="125"/>
    <n v="70875"/>
    <n v="64496.25"/>
    <n v="-3543.75"/>
    <s v="Sep"/>
    <n v="2019"/>
  </r>
  <r>
    <s v="Enterprise"/>
    <x v="2"/>
    <s v="Velo"/>
    <s v="Medium"/>
    <n v="2110"/>
    <n v="125"/>
    <n v="263750"/>
    <n v="240012.5"/>
    <n v="-13187.5"/>
    <s v="Sep"/>
    <n v="2019"/>
  </r>
  <r>
    <s v="Government"/>
    <x v="3"/>
    <s v="Velo"/>
    <s v="Medium"/>
    <n v="1269"/>
    <n v="350"/>
    <n v="444150"/>
    <n v="404176.5"/>
    <n v="74236.5"/>
    <s v="Oct"/>
    <n v="2019"/>
  </r>
  <r>
    <s v="Channel Partners"/>
    <x v="4"/>
    <s v="VTT"/>
    <s v="Medium"/>
    <n v="1956"/>
    <n v="12"/>
    <n v="23472"/>
    <n v="21359.52"/>
    <n v="15491.52"/>
    <s v="Jan"/>
    <n v="2019"/>
  </r>
  <r>
    <s v="Small Business"/>
    <x v="0"/>
    <s v="VTT"/>
    <s v="Medium"/>
    <n v="2659"/>
    <n v="300"/>
    <n v="797700"/>
    <n v="725907"/>
    <n v="61157"/>
    <s v="Feb"/>
    <n v="2019"/>
  </r>
  <r>
    <s v="Government"/>
    <x v="4"/>
    <s v="VTT"/>
    <s v="Medium"/>
    <n v="1351.5"/>
    <n v="350"/>
    <n v="473025"/>
    <n v="430452.75"/>
    <n v="79062.75"/>
    <s v="Apr"/>
    <n v="2019"/>
  </r>
  <r>
    <s v="Channel Partners"/>
    <x v="0"/>
    <s v="VTT"/>
    <s v="Medium"/>
    <n v="880"/>
    <n v="12"/>
    <n v="10560"/>
    <n v="9609.6"/>
    <n v="6969.6"/>
    <s v="May"/>
    <n v="2019"/>
  </r>
  <r>
    <s v="Small Business"/>
    <x v="4"/>
    <s v="VTT"/>
    <s v="Medium"/>
    <n v="1867"/>
    <n v="300"/>
    <n v="560100"/>
    <n v="509691"/>
    <n v="42941"/>
    <s v="Sep"/>
    <n v="2019"/>
  </r>
  <r>
    <s v="Channel Partners"/>
    <x v="1"/>
    <s v="VTT"/>
    <s v="Medium"/>
    <n v="2234"/>
    <n v="12"/>
    <n v="26808"/>
    <n v="24395.279999999999"/>
    <n v="17693.28"/>
    <s v="Sep"/>
    <n v="2018"/>
  </r>
  <r>
    <s v="Midmarket"/>
    <x v="1"/>
    <s v="VTT"/>
    <s v="Medium"/>
    <n v="1227"/>
    <n v="15"/>
    <n v="18405"/>
    <n v="16748.55"/>
    <n v="4478.55"/>
    <s v="Oct"/>
    <n v="2019"/>
  </r>
  <r>
    <s v="Enterprise"/>
    <x v="2"/>
    <s v="VTT"/>
    <s v="Medium"/>
    <n v="877"/>
    <n v="125"/>
    <n v="109625"/>
    <n v="99758.75"/>
    <n v="-5481.25"/>
    <s v="Nov"/>
    <n v="2019"/>
  </r>
  <r>
    <s v="Government"/>
    <x v="4"/>
    <s v="Amarilla"/>
    <s v="Medium"/>
    <n v="2071"/>
    <n v="350"/>
    <n v="724850"/>
    <n v="659613.5"/>
    <n v="121153.5"/>
    <s v="Sep"/>
    <n v="2019"/>
  </r>
  <r>
    <s v="Government"/>
    <x v="3"/>
    <s v="Amarilla"/>
    <s v="Medium"/>
    <n v="1269"/>
    <n v="350"/>
    <n v="444150"/>
    <n v="404176.5"/>
    <n v="74236.5"/>
    <s v="Oct"/>
    <n v="2019"/>
  </r>
  <r>
    <s v="Midmarket"/>
    <x v="0"/>
    <s v="Amarilla"/>
    <s v="Medium"/>
    <n v="970"/>
    <n v="15"/>
    <n v="14550"/>
    <n v="13240.5"/>
    <n v="3540.5"/>
    <s v="Nov"/>
    <n v="2018"/>
  </r>
  <r>
    <s v="Government"/>
    <x v="2"/>
    <s v="Amarilla"/>
    <s v="Medium"/>
    <n v="1694"/>
    <n v="20"/>
    <n v="33880"/>
    <n v="30830.799999999999"/>
    <n v="13890.8"/>
    <s v="Nov"/>
    <n v="2019"/>
  </r>
  <r>
    <s v="Government"/>
    <x v="0"/>
    <s v="Carretera"/>
    <s v="Medium"/>
    <n v="663"/>
    <n v="20"/>
    <n v="13260"/>
    <n v="12066.6"/>
    <n v="5436.6"/>
    <s v="May"/>
    <n v="2019"/>
  </r>
  <r>
    <s v="Government"/>
    <x v="3"/>
    <s v="Carretera"/>
    <s v="Medium"/>
    <n v="819"/>
    <n v="7"/>
    <n v="5733"/>
    <n v="5217.03"/>
    <n v="1122.03"/>
    <s v="Jul"/>
    <n v="2019"/>
  </r>
  <r>
    <s v="Channel Partners"/>
    <x v="0"/>
    <s v="Carretera"/>
    <s v="Medium"/>
    <n v="1580"/>
    <n v="12"/>
    <n v="18960"/>
    <n v="17253.599999999999"/>
    <n v="12513.6"/>
    <s v="Sep"/>
    <n v="2019"/>
  </r>
  <r>
    <s v="Government"/>
    <x v="2"/>
    <s v="Carretera"/>
    <s v="Medium"/>
    <n v="521"/>
    <n v="7"/>
    <n v="3647"/>
    <n v="3318.77"/>
    <n v="713.77"/>
    <s v="Dec"/>
    <n v="2019"/>
  </r>
  <r>
    <s v="Government"/>
    <x v="4"/>
    <s v="Paseo"/>
    <s v="Medium"/>
    <n v="973"/>
    <n v="20"/>
    <n v="19460"/>
    <n v="17708.599999999999"/>
    <n v="7978.6"/>
    <s v="Mar"/>
    <n v="2019"/>
  </r>
  <r>
    <s v="Government"/>
    <x v="2"/>
    <s v="Paseo"/>
    <s v="Medium"/>
    <n v="1038"/>
    <n v="20"/>
    <n v="20760"/>
    <n v="18891.599999999999"/>
    <n v="8511.6"/>
    <s v="Jun"/>
    <n v="2019"/>
  </r>
  <r>
    <s v="Government"/>
    <x v="0"/>
    <s v="Paseo"/>
    <s v="Medium"/>
    <n v="360"/>
    <n v="7"/>
    <n v="2520"/>
    <n v="2293.1999999999998"/>
    <n v="493.2"/>
    <s v="Oct"/>
    <n v="2019"/>
  </r>
  <r>
    <s v="Channel Partners"/>
    <x v="1"/>
    <s v="Velo"/>
    <s v="Medium"/>
    <n v="1967"/>
    <n v="12"/>
    <n v="23604"/>
    <n v="21479.64"/>
    <n v="15578.64"/>
    <s v="Mar"/>
    <n v="2019"/>
  </r>
  <r>
    <s v="Midmarket"/>
    <x v="2"/>
    <s v="Velo"/>
    <s v="Medium"/>
    <n v="2628"/>
    <n v="15"/>
    <n v="39420"/>
    <n v="35872.199999999997"/>
    <n v="9592.2000000000007"/>
    <s v="Apr"/>
    <n v="2019"/>
  </r>
  <r>
    <s v="Government"/>
    <x v="0"/>
    <s v="VTT"/>
    <s v="Medium"/>
    <n v="360"/>
    <n v="7"/>
    <n v="2520"/>
    <n v="2293.1999999999998"/>
    <n v="493.2"/>
    <s v="Oct"/>
    <n v="2019"/>
  </r>
  <r>
    <s v="Government"/>
    <x v="1"/>
    <s v="VTT"/>
    <s v="Medium"/>
    <n v="2682"/>
    <n v="20"/>
    <n v="53640"/>
    <n v="48812.4"/>
    <n v="21992.400000000001"/>
    <s v="Nov"/>
    <n v="2018"/>
  </r>
  <r>
    <s v="Government"/>
    <x v="2"/>
    <s v="VTT"/>
    <s v="Medium"/>
    <n v="521"/>
    <n v="7"/>
    <n v="3647"/>
    <n v="3318.77"/>
    <n v="713.77"/>
    <s v="Dec"/>
    <n v="2019"/>
  </r>
  <r>
    <s v="Government"/>
    <x v="2"/>
    <s v="Amarilla"/>
    <s v="Medium"/>
    <n v="1038"/>
    <n v="20"/>
    <n v="20760"/>
    <n v="18891.599999999999"/>
    <n v="8511.6"/>
    <s v="Jun"/>
    <n v="2019"/>
  </r>
  <r>
    <s v="Midmarket"/>
    <x v="3"/>
    <s v="Amarilla"/>
    <s v="Medium"/>
    <n v="1630.5"/>
    <n v="15"/>
    <n v="24457.5"/>
    <n v="22256.325000000001"/>
    <n v="5951.3249999999998"/>
    <s v="Jul"/>
    <n v="2019"/>
  </r>
  <r>
    <s v="Channel Partners"/>
    <x v="1"/>
    <s v="Amarilla"/>
    <s v="Medium"/>
    <n v="306"/>
    <n v="12"/>
    <n v="3672"/>
    <n v="3341.52"/>
    <n v="2423.52"/>
    <s v="Dec"/>
    <n v="2018"/>
  </r>
  <r>
    <s v="Channel Partners"/>
    <x v="4"/>
    <s v="Carretera"/>
    <s v="High"/>
    <n v="386"/>
    <n v="12"/>
    <n v="4632"/>
    <n v="4168.8"/>
    <n v="3010.8"/>
    <s v="Oct"/>
    <n v="2018"/>
  </r>
  <r>
    <s v="Government"/>
    <x v="4"/>
    <s v="Montana"/>
    <s v="High"/>
    <n v="2328"/>
    <n v="7"/>
    <n v="16296"/>
    <n v="14666.4"/>
    <n v="3026.4"/>
    <s v="Sep"/>
    <n v="2019"/>
  </r>
  <r>
    <s v="Channel Partners"/>
    <x v="4"/>
    <s v="Paseo"/>
    <s v="High"/>
    <n v="386"/>
    <n v="12"/>
    <n v="4632"/>
    <n v="4168.8"/>
    <n v="3010.8"/>
    <s v="Oct"/>
    <n v="2018"/>
  </r>
  <r>
    <s v="Enterprise"/>
    <x v="4"/>
    <s v="Carretera"/>
    <s v="High"/>
    <n v="3445.5"/>
    <n v="125"/>
    <n v="430687.5"/>
    <n v="387618.75"/>
    <n v="-25841.25"/>
    <s v="Apr"/>
    <n v="2019"/>
  </r>
  <r>
    <s v="Enterprise"/>
    <x v="1"/>
    <s v="Carretera"/>
    <s v="High"/>
    <n v="1482"/>
    <n v="125"/>
    <n v="185250"/>
    <n v="166725"/>
    <n v="-11115"/>
    <s v="Dec"/>
    <n v="2018"/>
  </r>
  <r>
    <s v="Government"/>
    <x v="4"/>
    <s v="Montana"/>
    <s v="High"/>
    <n v="2313"/>
    <n v="350"/>
    <n v="809550"/>
    <n v="728595"/>
    <n v="127215"/>
    <s v="May"/>
    <n v="2019"/>
  </r>
  <r>
    <s v="Enterprise"/>
    <x v="4"/>
    <s v="Montana"/>
    <s v="High"/>
    <n v="1804"/>
    <n v="125"/>
    <n v="225500"/>
    <n v="202950"/>
    <n v="-13530"/>
    <s v="Nov"/>
    <n v="2018"/>
  </r>
  <r>
    <s v="Midmarket"/>
    <x v="1"/>
    <s v="Montana"/>
    <s v="High"/>
    <n v="2072"/>
    <n v="15"/>
    <n v="31080"/>
    <n v="27972"/>
    <n v="7252"/>
    <s v="Dec"/>
    <n v="2019"/>
  </r>
  <r>
    <s v="Government"/>
    <x v="1"/>
    <s v="Paseo"/>
    <s v="High"/>
    <n v="1954"/>
    <n v="20"/>
    <n v="39080"/>
    <n v="35172"/>
    <n v="15632"/>
    <s v="Mar"/>
    <n v="2019"/>
  </r>
  <r>
    <s v="Small Business"/>
    <x v="2"/>
    <s v="Paseo"/>
    <s v="High"/>
    <n v="591"/>
    <n v="300"/>
    <n v="177300"/>
    <n v="159570"/>
    <n v="11820"/>
    <s v="May"/>
    <n v="2019"/>
  </r>
  <r>
    <s v="Midmarket"/>
    <x v="1"/>
    <s v="Paseo"/>
    <s v="High"/>
    <n v="2167"/>
    <n v="15"/>
    <n v="32505"/>
    <n v="29254.5"/>
    <n v="7584.5"/>
    <s v="Oct"/>
    <n v="2018"/>
  </r>
  <r>
    <s v="Government"/>
    <x v="0"/>
    <s v="Paseo"/>
    <s v="High"/>
    <n v="241"/>
    <n v="20"/>
    <n v="4820"/>
    <n v="4338"/>
    <n v="1928"/>
    <s v="Oct"/>
    <n v="2019"/>
  </r>
  <r>
    <s v="Midmarket"/>
    <x v="0"/>
    <s v="Velo"/>
    <s v="High"/>
    <n v="681"/>
    <n v="15"/>
    <n v="10215"/>
    <n v="9193.5"/>
    <n v="2383.5"/>
    <s v="Jan"/>
    <n v="2019"/>
  </r>
  <r>
    <s v="Midmarket"/>
    <x v="0"/>
    <s v="Velo"/>
    <s v="High"/>
    <n v="510"/>
    <n v="15"/>
    <n v="7650"/>
    <n v="6885"/>
    <n v="1785"/>
    <s v="Apr"/>
    <n v="2019"/>
  </r>
  <r>
    <s v="Midmarket"/>
    <x v="4"/>
    <s v="Velo"/>
    <s v="High"/>
    <n v="790"/>
    <n v="15"/>
    <n v="11850"/>
    <n v="10665"/>
    <n v="2765"/>
    <s v="May"/>
    <n v="2019"/>
  </r>
  <r>
    <s v="Government"/>
    <x v="1"/>
    <s v="Velo"/>
    <s v="High"/>
    <n v="639"/>
    <n v="350"/>
    <n v="223650"/>
    <n v="201285"/>
    <n v="35145"/>
    <s v="Jul"/>
    <n v="2019"/>
  </r>
  <r>
    <s v="Enterprise"/>
    <x v="4"/>
    <s v="Velo"/>
    <s v="High"/>
    <n v="1596"/>
    <n v="125"/>
    <n v="199500"/>
    <n v="179550"/>
    <n v="-11970"/>
    <s v="Sep"/>
    <n v="2019"/>
  </r>
  <r>
    <s v="Small Business"/>
    <x v="4"/>
    <s v="Velo"/>
    <s v="High"/>
    <n v="2294"/>
    <n v="300"/>
    <n v="688200"/>
    <n v="619380"/>
    <n v="45880"/>
    <s v="Oct"/>
    <n v="2018"/>
  </r>
  <r>
    <s v="Government"/>
    <x v="0"/>
    <s v="Velo"/>
    <s v="High"/>
    <n v="241"/>
    <n v="20"/>
    <n v="4820"/>
    <n v="4338"/>
    <n v="1928"/>
    <s v="Oct"/>
    <n v="2019"/>
  </r>
  <r>
    <s v="Government"/>
    <x v="0"/>
    <s v="Velo"/>
    <s v="High"/>
    <n v="2665"/>
    <n v="7"/>
    <n v="18655"/>
    <n v="16789.5"/>
    <n v="3464.5"/>
    <s v="Nov"/>
    <n v="2019"/>
  </r>
  <r>
    <s v="Enterprise"/>
    <x v="3"/>
    <s v="Velo"/>
    <s v="High"/>
    <n v="1916"/>
    <n v="125"/>
    <n v="239500"/>
    <n v="215550"/>
    <n v="-14370"/>
    <s v="Dec"/>
    <n v="2018"/>
  </r>
  <r>
    <s v="Small Business"/>
    <x v="1"/>
    <s v="Velo"/>
    <s v="High"/>
    <n v="853"/>
    <n v="300"/>
    <n v="255900"/>
    <n v="230310"/>
    <n v="17060"/>
    <s v="Dec"/>
    <n v="2019"/>
  </r>
  <r>
    <s v="Enterprise"/>
    <x v="2"/>
    <s v="VTT"/>
    <s v="High"/>
    <n v="341"/>
    <n v="125"/>
    <n v="42625"/>
    <n v="38362.5"/>
    <n v="-2557.5"/>
    <s v="May"/>
    <n v="2019"/>
  </r>
  <r>
    <s v="Midmarket"/>
    <x v="2"/>
    <s v="VTT"/>
    <s v="High"/>
    <n v="641"/>
    <n v="15"/>
    <n v="9615"/>
    <n v="8653.5"/>
    <n v="2243.5"/>
    <s v="Jul"/>
    <n v="2019"/>
  </r>
  <r>
    <s v="Government"/>
    <x v="4"/>
    <s v="VTT"/>
    <s v="High"/>
    <n v="2807"/>
    <n v="350"/>
    <n v="982450"/>
    <n v="884205"/>
    <n v="154385"/>
    <s v="Aug"/>
    <n v="2019"/>
  </r>
  <r>
    <s v="Small Business"/>
    <x v="2"/>
    <s v="VTT"/>
    <s v="High"/>
    <n v="432"/>
    <n v="300"/>
    <n v="129600"/>
    <n v="116640"/>
    <n v="8640"/>
    <s v="Sep"/>
    <n v="2019"/>
  </r>
  <r>
    <s v="Small Business"/>
    <x v="4"/>
    <s v="VTT"/>
    <s v="High"/>
    <n v="2294"/>
    <n v="300"/>
    <n v="688200"/>
    <n v="619380"/>
    <n v="45880"/>
    <s v="Oct"/>
    <n v="2018"/>
  </r>
  <r>
    <s v="Midmarket"/>
    <x v="1"/>
    <s v="VTT"/>
    <s v="High"/>
    <n v="2167"/>
    <n v="15"/>
    <n v="32505"/>
    <n v="29254.5"/>
    <n v="7584.5"/>
    <s v="Oct"/>
    <n v="2018"/>
  </r>
  <r>
    <s v="Enterprise"/>
    <x v="3"/>
    <s v="VTT"/>
    <s v="High"/>
    <n v="2529"/>
    <n v="125"/>
    <n v="316125"/>
    <n v="284512.5"/>
    <n v="-18967.5"/>
    <s v="Nov"/>
    <n v="2019"/>
  </r>
  <r>
    <s v="Government"/>
    <x v="0"/>
    <s v="VTT"/>
    <s v="High"/>
    <n v="1870"/>
    <n v="350"/>
    <n v="654500"/>
    <n v="589050"/>
    <n v="102850"/>
    <s v="Dec"/>
    <n v="2018"/>
  </r>
  <r>
    <s v="Enterprise"/>
    <x v="4"/>
    <s v="Amarilla"/>
    <s v="High"/>
    <n v="579"/>
    <n v="125"/>
    <n v="72375"/>
    <n v="65137.5"/>
    <n v="-4342.5"/>
    <s v="Jan"/>
    <n v="2019"/>
  </r>
  <r>
    <s v="Government"/>
    <x v="3"/>
    <s v="Amarilla"/>
    <s v="High"/>
    <n v="2240"/>
    <n v="350"/>
    <n v="784000"/>
    <n v="705600"/>
    <n v="123200"/>
    <s v="Feb"/>
    <n v="2019"/>
  </r>
  <r>
    <s v="Small Business"/>
    <x v="4"/>
    <s v="Amarilla"/>
    <s v="High"/>
    <n v="2993"/>
    <n v="300"/>
    <n v="897900"/>
    <n v="808110"/>
    <n v="59860"/>
    <s v="Mar"/>
    <n v="2019"/>
  </r>
  <r>
    <s v="Channel Partners"/>
    <x v="3"/>
    <s v="Amarilla"/>
    <s v="High"/>
    <n v="3520.5"/>
    <n v="12"/>
    <n v="42246"/>
    <n v="38021.4"/>
    <n v="27459.9"/>
    <s v="Apr"/>
    <n v="2019"/>
  </r>
  <r>
    <s v="Government"/>
    <x v="2"/>
    <s v="Amarilla"/>
    <s v="High"/>
    <n v="2039"/>
    <n v="20"/>
    <n v="40780"/>
    <n v="36702"/>
    <n v="16312"/>
    <s v="May"/>
    <n v="2019"/>
  </r>
  <r>
    <s v="Channel Partners"/>
    <x v="0"/>
    <s v="Amarilla"/>
    <s v="High"/>
    <n v="2574"/>
    <n v="12"/>
    <n v="30888"/>
    <n v="27799.200000000001"/>
    <n v="20077.2"/>
    <s v="Aug"/>
    <n v="2019"/>
  </r>
  <r>
    <s v="Government"/>
    <x v="3"/>
    <s v="Amarilla"/>
    <s v="High"/>
    <n v="707"/>
    <n v="350"/>
    <n v="247450"/>
    <n v="222705"/>
    <n v="38885"/>
    <s v="Sep"/>
    <n v="2019"/>
  </r>
  <r>
    <s v="Midmarket"/>
    <x v="1"/>
    <s v="Amarilla"/>
    <s v="High"/>
    <n v="2072"/>
    <n v="15"/>
    <n v="31080"/>
    <n v="27972"/>
    <n v="7252"/>
    <s v="Dec"/>
    <n v="2019"/>
  </r>
  <r>
    <s v="Small Business"/>
    <x v="1"/>
    <s v="Amarilla"/>
    <s v="High"/>
    <n v="853"/>
    <n v="300"/>
    <n v="255900"/>
    <n v="230310"/>
    <n v="17060"/>
    <s v="Dec"/>
    <n v="2019"/>
  </r>
  <r>
    <s v="Channel Partners"/>
    <x v="1"/>
    <s v="Carretera"/>
    <s v="High"/>
    <n v="1198"/>
    <n v="12"/>
    <n v="14376"/>
    <n v="12794.64"/>
    <n v="9200.64"/>
    <s v="Oct"/>
    <n v="2018"/>
  </r>
  <r>
    <s v="Government"/>
    <x v="1"/>
    <s v="Paseo"/>
    <s v="High"/>
    <n v="2532"/>
    <n v="7"/>
    <n v="17724"/>
    <n v="15774.36"/>
    <n v="3114.36"/>
    <s v="Apr"/>
    <n v="2019"/>
  </r>
  <r>
    <s v="Channel Partners"/>
    <x v="1"/>
    <s v="Paseo"/>
    <s v="High"/>
    <n v="1198"/>
    <n v="12"/>
    <n v="14376"/>
    <n v="12794.64"/>
    <n v="9200.64"/>
    <s v="Oct"/>
    <n v="2018"/>
  </r>
  <r>
    <s v="Midmarket"/>
    <x v="3"/>
    <s v="Velo"/>
    <s v="High"/>
    <n v="384"/>
    <n v="15"/>
    <n v="5760"/>
    <n v="5126.3999999999996"/>
    <n v="1286.4000000000001"/>
    <s v="Jan"/>
    <n v="2019"/>
  </r>
  <r>
    <s v="Channel Partners"/>
    <x v="0"/>
    <s v="Velo"/>
    <s v="High"/>
    <n v="472"/>
    <n v="12"/>
    <n v="5664"/>
    <n v="5040.96"/>
    <n v="3624.96"/>
    <s v="Oct"/>
    <n v="2019"/>
  </r>
  <r>
    <s v="Government"/>
    <x v="4"/>
    <s v="VTT"/>
    <s v="High"/>
    <n v="1579"/>
    <n v="7"/>
    <n v="11053"/>
    <n v="9837.17"/>
    <n v="1942.17"/>
    <s v="Mar"/>
    <n v="2019"/>
  </r>
  <r>
    <s v="Channel Partners"/>
    <x v="2"/>
    <s v="VTT"/>
    <s v="High"/>
    <n v="1005"/>
    <n v="12"/>
    <n v="12060"/>
    <n v="10733.4"/>
    <n v="7718.4"/>
    <s v="Sep"/>
    <n v="2018"/>
  </r>
  <r>
    <s v="Midmarket"/>
    <x v="4"/>
    <s v="Amarilla"/>
    <s v="High"/>
    <n v="3199.5"/>
    <n v="15"/>
    <n v="47992.5"/>
    <n v="42713.324999999997"/>
    <n v="10718.325000000001"/>
    <s v="Jul"/>
    <n v="2019"/>
  </r>
  <r>
    <s v="Channel Partners"/>
    <x v="0"/>
    <s v="Amarilla"/>
    <s v="High"/>
    <n v="472"/>
    <n v="12"/>
    <n v="5664"/>
    <n v="5040.96"/>
    <n v="3624.96"/>
    <s v="Oct"/>
    <n v="2019"/>
  </r>
  <r>
    <s v="Channel Partners"/>
    <x v="3"/>
    <s v="Carretera"/>
    <s v="High"/>
    <n v="1937"/>
    <n v="12"/>
    <n v="23244"/>
    <n v="20687.16"/>
    <n v="14876.16"/>
    <s v="Feb"/>
    <n v="2019"/>
  </r>
  <r>
    <s v="Government"/>
    <x v="0"/>
    <s v="Carretera"/>
    <s v="High"/>
    <n v="792"/>
    <n v="350"/>
    <n v="277200"/>
    <n v="246708"/>
    <n v="40788"/>
    <s v="Mar"/>
    <n v="2019"/>
  </r>
  <r>
    <s v="Small Business"/>
    <x v="0"/>
    <s v="Carretera"/>
    <s v="High"/>
    <n v="2811"/>
    <n v="300"/>
    <n v="843300"/>
    <n v="750537"/>
    <n v="47787"/>
    <s v="Jul"/>
    <n v="2019"/>
  </r>
  <r>
    <s v="Enterprise"/>
    <x v="1"/>
    <s v="Carretera"/>
    <s v="High"/>
    <n v="2441"/>
    <n v="125"/>
    <n v="305125"/>
    <n v="271561.25"/>
    <n v="-21358.75"/>
    <s v="Oct"/>
    <n v="2019"/>
  </r>
  <r>
    <s v="Midmarket"/>
    <x v="3"/>
    <s v="Carretera"/>
    <s v="High"/>
    <n v="1560"/>
    <n v="15"/>
    <n v="23400"/>
    <n v="20826"/>
    <n v="5226"/>
    <s v="Nov"/>
    <n v="2018"/>
  </r>
  <r>
    <s v="Government"/>
    <x v="2"/>
    <s v="Carretera"/>
    <s v="High"/>
    <n v="2706"/>
    <n v="7"/>
    <n v="18942"/>
    <n v="16858.38"/>
    <n v="3328.38"/>
    <s v="Nov"/>
    <n v="2018"/>
  </r>
  <r>
    <s v="Government"/>
    <x v="0"/>
    <s v="Montana"/>
    <s v="High"/>
    <n v="766"/>
    <n v="350"/>
    <n v="268100"/>
    <n v="238609"/>
    <n v="39449"/>
    <s v="Jan"/>
    <n v="2019"/>
  </r>
  <r>
    <s v="Government"/>
    <x v="0"/>
    <s v="Montana"/>
    <s v="High"/>
    <n v="2992"/>
    <n v="20"/>
    <n v="59840"/>
    <n v="53257.599999999999"/>
    <n v="23337.599999999999"/>
    <s v="Oct"/>
    <n v="2018"/>
  </r>
  <r>
    <s v="Midmarket"/>
    <x v="2"/>
    <s v="Montana"/>
    <s v="High"/>
    <n v="2157"/>
    <n v="15"/>
    <n v="32355"/>
    <n v="28795.95"/>
    <n v="7225.95"/>
    <s v="Dec"/>
    <n v="2019"/>
  </r>
  <r>
    <s v="Small Business"/>
    <x v="3"/>
    <s v="Paseo"/>
    <s v="High"/>
    <n v="873"/>
    <n v="300"/>
    <n v="261900"/>
    <n v="233091"/>
    <n v="14841"/>
    <s v="Jan"/>
    <n v="2019"/>
  </r>
  <r>
    <s v="Government"/>
    <x v="2"/>
    <s v="Paseo"/>
    <s v="High"/>
    <n v="1122"/>
    <n v="20"/>
    <n v="22440"/>
    <n v="19971.599999999999"/>
    <n v="8751.6"/>
    <s v="Mar"/>
    <n v="2019"/>
  </r>
  <r>
    <s v="Government"/>
    <x v="3"/>
    <s v="Paseo"/>
    <s v="High"/>
    <n v="2104.5"/>
    <n v="350"/>
    <n v="736575"/>
    <n v="655551.75"/>
    <n v="108381.75"/>
    <s v="Jul"/>
    <n v="2019"/>
  </r>
  <r>
    <s v="Channel Partners"/>
    <x v="3"/>
    <s v="Paseo"/>
    <s v="High"/>
    <n v="4026"/>
    <n v="12"/>
    <n v="48312"/>
    <n v="42997.68"/>
    <n v="30919.68"/>
    <s v="Jul"/>
    <n v="2019"/>
  </r>
  <r>
    <s v="Channel Partners"/>
    <x v="1"/>
    <s v="Paseo"/>
    <s v="High"/>
    <n v="2425.5"/>
    <n v="12"/>
    <n v="29106"/>
    <n v="25904.34"/>
    <n v="18627.84"/>
    <s v="Jul"/>
    <n v="2019"/>
  </r>
  <r>
    <s v="Government"/>
    <x v="3"/>
    <s v="Paseo"/>
    <s v="High"/>
    <n v="2394"/>
    <n v="20"/>
    <n v="47880"/>
    <n v="42613.2"/>
    <n v="18673.2"/>
    <s v="Aug"/>
    <n v="2019"/>
  </r>
  <r>
    <s v="Midmarket"/>
    <x v="2"/>
    <s v="Paseo"/>
    <s v="High"/>
    <n v="1984"/>
    <n v="15"/>
    <n v="29760"/>
    <n v="26486.400000000001"/>
    <n v="6646.4"/>
    <s v="Aug"/>
    <n v="2019"/>
  </r>
  <r>
    <s v="Enterprise"/>
    <x v="1"/>
    <s v="Paseo"/>
    <s v="High"/>
    <n v="2441"/>
    <n v="125"/>
    <n v="305125"/>
    <n v="271561.25"/>
    <n v="-21358.75"/>
    <s v="Oct"/>
    <n v="2019"/>
  </r>
  <r>
    <s v="Government"/>
    <x v="0"/>
    <s v="Paseo"/>
    <s v="High"/>
    <n v="2992"/>
    <n v="20"/>
    <n v="59840"/>
    <n v="53257.599999999999"/>
    <n v="23337.599999999999"/>
    <s v="Oct"/>
    <n v="2018"/>
  </r>
  <r>
    <s v="Small Business"/>
    <x v="3"/>
    <s v="Paseo"/>
    <s v="High"/>
    <n v="1366"/>
    <n v="300"/>
    <n v="409800"/>
    <n v="364722"/>
    <n v="23222"/>
    <s v="Nov"/>
    <n v="2019"/>
  </r>
  <r>
    <s v="Government"/>
    <x v="1"/>
    <s v="Velo"/>
    <s v="High"/>
    <n v="2805"/>
    <n v="20"/>
    <n v="56100"/>
    <n v="49929"/>
    <n v="21879"/>
    <s v="Sep"/>
    <n v="2018"/>
  </r>
  <r>
    <s v="Midmarket"/>
    <x v="2"/>
    <s v="Velo"/>
    <s v="High"/>
    <n v="655"/>
    <n v="15"/>
    <n v="9825"/>
    <n v="8744.25"/>
    <n v="2194.25"/>
    <s v="Sep"/>
    <n v="2018"/>
  </r>
  <r>
    <s v="Government"/>
    <x v="2"/>
    <s v="Velo"/>
    <s v="High"/>
    <n v="344"/>
    <n v="350"/>
    <n v="120400"/>
    <n v="107156"/>
    <n v="17716"/>
    <s v="Oct"/>
    <n v="2018"/>
  </r>
  <r>
    <s v="Government"/>
    <x v="3"/>
    <s v="Velo"/>
    <s v="High"/>
    <n v="1808"/>
    <n v="7"/>
    <n v="12656"/>
    <n v="11263.84"/>
    <n v="2223.84"/>
    <s v="Nov"/>
    <n v="2019"/>
  </r>
  <r>
    <s v="Channel Partners"/>
    <x v="1"/>
    <s v="VTT"/>
    <s v="High"/>
    <n v="1734"/>
    <n v="12"/>
    <n v="20808"/>
    <n v="18519.12"/>
    <n v="13317.12"/>
    <s v="Jan"/>
    <n v="2019"/>
  </r>
  <r>
    <s v="Enterprise"/>
    <x v="2"/>
    <s v="VTT"/>
    <s v="High"/>
    <n v="554"/>
    <n v="125"/>
    <n v="69250"/>
    <n v="61632.5"/>
    <n v="-4847.5"/>
    <s v="Jan"/>
    <n v="2019"/>
  </r>
  <r>
    <s v="Government"/>
    <x v="3"/>
    <s v="VTT"/>
    <s v="High"/>
    <n v="2935"/>
    <n v="20"/>
    <n v="58700"/>
    <n v="52243"/>
    <n v="22893"/>
    <s v="Nov"/>
    <n v="2018"/>
  </r>
  <r>
    <s v="Enterprise"/>
    <x v="0"/>
    <s v="Amarilla"/>
    <s v="High"/>
    <n v="3165"/>
    <n v="125"/>
    <n v="395625"/>
    <n v="352106.25"/>
    <n v="-27693.75"/>
    <s v="Jan"/>
    <n v="2019"/>
  </r>
  <r>
    <s v="Government"/>
    <x v="2"/>
    <s v="Amarilla"/>
    <s v="High"/>
    <n v="2629"/>
    <n v="20"/>
    <n v="52580"/>
    <n v="46796.2"/>
    <n v="20506.2"/>
    <s v="Jan"/>
    <n v="2019"/>
  </r>
  <r>
    <s v="Enterprise"/>
    <x v="1"/>
    <s v="Amarilla"/>
    <s v="High"/>
    <n v="1433"/>
    <n v="125"/>
    <n v="179125"/>
    <n v="159421.25"/>
    <n v="-12538.75"/>
    <s v="May"/>
    <n v="2019"/>
  </r>
  <r>
    <s v="Enterprise"/>
    <x v="2"/>
    <s v="Amarilla"/>
    <s v="High"/>
    <n v="947"/>
    <n v="125"/>
    <n v="118375"/>
    <n v="105353.75"/>
    <n v="-8286.25"/>
    <s v="Sep"/>
    <n v="2018"/>
  </r>
  <r>
    <s v="Government"/>
    <x v="2"/>
    <s v="Amarilla"/>
    <s v="High"/>
    <n v="344"/>
    <n v="350"/>
    <n v="120400"/>
    <n v="107156"/>
    <n v="17716"/>
    <s v="Oct"/>
    <n v="2018"/>
  </r>
  <r>
    <s v="Midmarket"/>
    <x v="2"/>
    <s v="Amarilla"/>
    <s v="High"/>
    <n v="2157"/>
    <n v="15"/>
    <n v="32355"/>
    <n v="28795.95"/>
    <n v="7225.95"/>
    <s v="Dec"/>
    <n v="2019"/>
  </r>
  <r>
    <s v="Government"/>
    <x v="4"/>
    <s v="Paseo"/>
    <s v="High"/>
    <n v="380"/>
    <n v="7"/>
    <n v="2660"/>
    <n v="2367.4"/>
    <n v="467.4"/>
    <s v="Sep"/>
    <n v="2018"/>
  </r>
  <r>
    <s v="Government"/>
    <x v="2"/>
    <s v="Carretera"/>
    <s v="High"/>
    <n v="886"/>
    <n v="350"/>
    <n v="310100"/>
    <n v="272888"/>
    <n v="42528"/>
    <s v="Jun"/>
    <n v="2019"/>
  </r>
  <r>
    <s v="Enterprise"/>
    <x v="3"/>
    <s v="Carretera"/>
    <s v="High"/>
    <n v="2416"/>
    <n v="125"/>
    <n v="302000"/>
    <n v="265760"/>
    <n v="-24160"/>
    <s v="Sep"/>
    <n v="2018"/>
  </r>
  <r>
    <s v="Enterprise"/>
    <x v="2"/>
    <s v="Carretera"/>
    <s v="High"/>
    <n v="2156"/>
    <n v="125"/>
    <n v="269500"/>
    <n v="237160"/>
    <n v="-21560"/>
    <s v="Oct"/>
    <n v="2019"/>
  </r>
  <r>
    <s v="Midmarket"/>
    <x v="3"/>
    <s v="Carretera"/>
    <s v="High"/>
    <n v="2689"/>
    <n v="15"/>
    <n v="40335"/>
    <n v="35494.800000000003"/>
    <n v="8604.7999999999993"/>
    <s v="Nov"/>
    <n v="2019"/>
  </r>
  <r>
    <s v="Midmarket"/>
    <x v="4"/>
    <s v="Montana"/>
    <s v="High"/>
    <n v="677"/>
    <n v="15"/>
    <n v="10155"/>
    <n v="8936.4"/>
    <n v="2166.4"/>
    <s v="Mar"/>
    <n v="2019"/>
  </r>
  <r>
    <s v="Small Business"/>
    <x v="1"/>
    <s v="Montana"/>
    <s v="High"/>
    <n v="1773"/>
    <n v="300"/>
    <n v="531900"/>
    <n v="468072"/>
    <n v="24822"/>
    <s v="Apr"/>
    <n v="2019"/>
  </r>
  <r>
    <s v="Government"/>
    <x v="2"/>
    <s v="Montana"/>
    <s v="High"/>
    <n v="2420"/>
    <n v="7"/>
    <n v="16940"/>
    <n v="14907.2"/>
    <n v="2807.2"/>
    <s v="Sep"/>
    <n v="2019"/>
  </r>
  <r>
    <s v="Government"/>
    <x v="3"/>
    <s v="Montana"/>
    <s v="High"/>
    <n v="2734"/>
    <n v="7"/>
    <n v="19138"/>
    <n v="16841.439999999999"/>
    <n v="3171.44"/>
    <s v="Oct"/>
    <n v="2019"/>
  </r>
  <r>
    <s v="Government"/>
    <x v="2"/>
    <s v="Montana"/>
    <s v="High"/>
    <n v="1715"/>
    <n v="20"/>
    <n v="34300"/>
    <n v="30184"/>
    <n v="13034"/>
    <s v="Oct"/>
    <n v="2018"/>
  </r>
  <r>
    <s v="Small Business"/>
    <x v="1"/>
    <s v="Montana"/>
    <s v="High"/>
    <n v="1186"/>
    <n v="300"/>
    <n v="355800"/>
    <n v="313104"/>
    <n v="16604"/>
    <s v="Dec"/>
    <n v="2018"/>
  </r>
  <r>
    <s v="Small Business"/>
    <x v="4"/>
    <s v="Paseo"/>
    <s v="High"/>
    <n v="3495"/>
    <n v="300"/>
    <n v="1048500"/>
    <n v="922680"/>
    <n v="48930"/>
    <s v="Jan"/>
    <n v="2019"/>
  </r>
  <r>
    <s v="Government"/>
    <x v="2"/>
    <s v="Paseo"/>
    <s v="High"/>
    <n v="886"/>
    <n v="350"/>
    <n v="310100"/>
    <n v="272888"/>
    <n v="42528"/>
    <s v="Jun"/>
    <n v="2019"/>
  </r>
  <r>
    <s v="Enterprise"/>
    <x v="2"/>
    <s v="Paseo"/>
    <s v="High"/>
    <n v="2156"/>
    <n v="125"/>
    <n v="269500"/>
    <n v="237160"/>
    <n v="-21560"/>
    <s v="Oct"/>
    <n v="2019"/>
  </r>
  <r>
    <s v="Government"/>
    <x v="2"/>
    <s v="Paseo"/>
    <s v="High"/>
    <n v="905"/>
    <n v="20"/>
    <n v="18100"/>
    <n v="15928"/>
    <n v="6878"/>
    <s v="Oct"/>
    <n v="2019"/>
  </r>
  <r>
    <s v="Government"/>
    <x v="2"/>
    <s v="Paseo"/>
    <s v="High"/>
    <n v="1715"/>
    <n v="20"/>
    <n v="34300"/>
    <n v="30184"/>
    <n v="13034"/>
    <s v="Oct"/>
    <n v="2018"/>
  </r>
  <r>
    <s v="Government"/>
    <x v="1"/>
    <s v="Paseo"/>
    <s v="High"/>
    <n v="1594"/>
    <n v="350"/>
    <n v="557900"/>
    <n v="490952"/>
    <n v="76512"/>
    <s v="Nov"/>
    <n v="2019"/>
  </r>
  <r>
    <s v="Small Business"/>
    <x v="0"/>
    <s v="Paseo"/>
    <s v="High"/>
    <n v="1359"/>
    <n v="300"/>
    <n v="407700"/>
    <n v="358776"/>
    <n v="19026"/>
    <s v="Nov"/>
    <n v="2019"/>
  </r>
  <r>
    <s v="Small Business"/>
    <x v="2"/>
    <s v="Paseo"/>
    <s v="High"/>
    <n v="2150"/>
    <n v="300"/>
    <n v="645000"/>
    <n v="567600"/>
    <n v="30100"/>
    <s v="Nov"/>
    <n v="2019"/>
  </r>
  <r>
    <s v="Government"/>
    <x v="2"/>
    <s v="Paseo"/>
    <s v="High"/>
    <n v="1197"/>
    <n v="350"/>
    <n v="418950"/>
    <n v="368676"/>
    <n v="57456"/>
    <s v="Nov"/>
    <n v="2019"/>
  </r>
  <r>
    <s v="Midmarket"/>
    <x v="2"/>
    <s v="Paseo"/>
    <s v="High"/>
    <n v="380"/>
    <n v="15"/>
    <n v="5700"/>
    <n v="5016"/>
    <n v="1216"/>
    <s v="Dec"/>
    <n v="2018"/>
  </r>
  <r>
    <s v="Government"/>
    <x v="2"/>
    <s v="Paseo"/>
    <s v="High"/>
    <n v="1233"/>
    <n v="20"/>
    <n v="24660"/>
    <n v="21700.799999999999"/>
    <n v="9370.7999999999993"/>
    <s v="Dec"/>
    <n v="2019"/>
  </r>
  <r>
    <s v="Government"/>
    <x v="2"/>
    <s v="Velo"/>
    <s v="High"/>
    <n v="1395"/>
    <n v="350"/>
    <n v="488250"/>
    <n v="429660"/>
    <n v="66960"/>
    <s v="Jul"/>
    <n v="2019"/>
  </r>
  <r>
    <s v="Government"/>
    <x v="4"/>
    <s v="Velo"/>
    <s v="High"/>
    <n v="986"/>
    <n v="350"/>
    <n v="345100"/>
    <n v="303688"/>
    <n v="47328"/>
    <s v="Oct"/>
    <n v="2019"/>
  </r>
  <r>
    <s v="Government"/>
    <x v="2"/>
    <s v="Velo"/>
    <s v="High"/>
    <n v="905"/>
    <n v="20"/>
    <n v="18100"/>
    <n v="15928"/>
    <n v="6878"/>
    <s v="Oct"/>
    <n v="2019"/>
  </r>
  <r>
    <s v="Channel Partners"/>
    <x v="3"/>
    <s v="VTT"/>
    <s v="High"/>
    <n v="2109"/>
    <n v="12"/>
    <n v="25308"/>
    <n v="22271.040000000001"/>
    <n v="15944.04"/>
    <s v="May"/>
    <n v="2019"/>
  </r>
  <r>
    <s v="Midmarket"/>
    <x v="1"/>
    <s v="VTT"/>
    <s v="High"/>
    <n v="3874.5"/>
    <n v="15"/>
    <n v="58117.5"/>
    <n v="51143.4"/>
    <n v="12398.4"/>
    <s v="Jul"/>
    <n v="2019"/>
  </r>
  <r>
    <s v="Government"/>
    <x v="3"/>
    <s v="VTT"/>
    <s v="High"/>
    <n v="623"/>
    <n v="350"/>
    <n v="218050"/>
    <n v="191884"/>
    <n v="29904"/>
    <s v="Sep"/>
    <n v="2018"/>
  </r>
  <r>
    <s v="Government"/>
    <x v="4"/>
    <s v="VTT"/>
    <s v="High"/>
    <n v="986"/>
    <n v="350"/>
    <n v="345100"/>
    <n v="303688"/>
    <n v="47328"/>
    <s v="Oct"/>
    <n v="2019"/>
  </r>
  <r>
    <s v="Enterprise"/>
    <x v="4"/>
    <s v="VTT"/>
    <s v="High"/>
    <n v="2387"/>
    <n v="125"/>
    <n v="298375"/>
    <n v="262570"/>
    <n v="-23870"/>
    <s v="Nov"/>
    <n v="2019"/>
  </r>
  <r>
    <s v="Government"/>
    <x v="2"/>
    <s v="VTT"/>
    <s v="High"/>
    <n v="1233"/>
    <n v="20"/>
    <n v="24660"/>
    <n v="21700.799999999999"/>
    <n v="9370.7999999999993"/>
    <s v="Dec"/>
    <n v="2019"/>
  </r>
  <r>
    <s v="Government"/>
    <x v="4"/>
    <s v="Amarilla"/>
    <s v="High"/>
    <n v="270"/>
    <n v="350"/>
    <n v="94500"/>
    <n v="83160"/>
    <n v="12960"/>
    <s v="Feb"/>
    <n v="2019"/>
  </r>
  <r>
    <s v="Government"/>
    <x v="1"/>
    <s v="Amarilla"/>
    <s v="High"/>
    <n v="3421.5"/>
    <n v="7"/>
    <n v="23950.5"/>
    <n v="21076.44"/>
    <n v="3968.94"/>
    <s v="Jul"/>
    <n v="2019"/>
  </r>
  <r>
    <s v="Government"/>
    <x v="3"/>
    <s v="Amarilla"/>
    <s v="High"/>
    <n v="2734"/>
    <n v="7"/>
    <n v="19138"/>
    <n v="16841.439999999999"/>
    <n v="3171.44"/>
    <s v="Oct"/>
    <n v="2019"/>
  </r>
  <r>
    <s v="Midmarket"/>
    <x v="4"/>
    <s v="Amarilla"/>
    <s v="High"/>
    <n v="2548"/>
    <n v="15"/>
    <n v="38220"/>
    <n v="33633.599999999999"/>
    <n v="8153.6"/>
    <s v="Nov"/>
    <n v="2018"/>
  </r>
  <r>
    <s v="Government"/>
    <x v="1"/>
    <s v="Carretera"/>
    <s v="High"/>
    <n v="2521.5"/>
    <n v="20"/>
    <n v="50430"/>
    <n v="44378.400000000001"/>
    <n v="19163.400000000001"/>
    <s v="Jan"/>
    <n v="2019"/>
  </r>
  <r>
    <s v="Channel Partners"/>
    <x v="2"/>
    <s v="Montana"/>
    <s v="High"/>
    <n v="2661"/>
    <n v="12"/>
    <n v="31932"/>
    <n v="28100.16"/>
    <n v="20117.16"/>
    <s v="May"/>
    <n v="2019"/>
  </r>
  <r>
    <s v="Government"/>
    <x v="0"/>
    <s v="Paseo"/>
    <s v="High"/>
    <n v="1531"/>
    <n v="20"/>
    <n v="30620"/>
    <n v="26945.599999999999"/>
    <n v="11635.6"/>
    <s v="Dec"/>
    <n v="2019"/>
  </r>
  <r>
    <s v="Government"/>
    <x v="1"/>
    <s v="VTT"/>
    <s v="High"/>
    <n v="1491"/>
    <n v="7"/>
    <n v="10437"/>
    <n v="9184.56"/>
    <n v="1729.56"/>
    <s v="Mar"/>
    <n v="2019"/>
  </r>
  <r>
    <s v="Government"/>
    <x v="0"/>
    <s v="VTT"/>
    <s v="High"/>
    <n v="1531"/>
    <n v="20"/>
    <n v="30620"/>
    <n v="26945.599999999999"/>
    <n v="11635.6"/>
    <s v="Dec"/>
    <n v="2019"/>
  </r>
  <r>
    <s v="Channel Partners"/>
    <x v="3"/>
    <s v="Amarilla"/>
    <s v="High"/>
    <n v="2761"/>
    <n v="12"/>
    <n v="33132"/>
    <n v="29156.16"/>
    <n v="20873.16"/>
    <s v="Sep"/>
    <n v="2018"/>
  </r>
  <r>
    <s v="Midmarket"/>
    <x v="4"/>
    <s v="Carretera"/>
    <s v="High"/>
    <n v="2567"/>
    <n v="15"/>
    <n v="38505"/>
    <n v="33499.35"/>
    <n v="7829.35"/>
    <s v="Jun"/>
    <n v="2019"/>
  </r>
  <r>
    <s v="Midmarket"/>
    <x v="4"/>
    <s v="VTT"/>
    <s v="High"/>
    <n v="2567"/>
    <n v="15"/>
    <n v="38505"/>
    <n v="33499.35"/>
    <n v="7829.35"/>
    <s v="Jun"/>
    <n v="2019"/>
  </r>
  <r>
    <s v="Government"/>
    <x v="3"/>
    <s v="Carretera"/>
    <s v="High"/>
    <n v="923"/>
    <n v="350"/>
    <n v="323050"/>
    <n v="281053.5"/>
    <n v="41073.5"/>
    <s v="Mar"/>
    <n v="2019"/>
  </r>
  <r>
    <s v="Government"/>
    <x v="1"/>
    <s v="Carretera"/>
    <s v="High"/>
    <n v="1790"/>
    <n v="350"/>
    <n v="626500"/>
    <n v="545055"/>
    <n v="79655"/>
    <s v="Mar"/>
    <n v="2019"/>
  </r>
  <r>
    <s v="Government"/>
    <x v="0"/>
    <s v="Carretera"/>
    <s v="High"/>
    <n v="442"/>
    <n v="20"/>
    <n v="8840"/>
    <n v="7690.8"/>
    <n v="3270.8"/>
    <s v="Sep"/>
    <n v="2018"/>
  </r>
  <r>
    <s v="Government"/>
    <x v="4"/>
    <s v="Montana"/>
    <s v="High"/>
    <n v="982.5"/>
    <n v="350"/>
    <n v="343875"/>
    <n v="299171.25"/>
    <n v="43721.25"/>
    <s v="Jan"/>
    <n v="2019"/>
  </r>
  <r>
    <s v="Government"/>
    <x v="4"/>
    <s v="Montana"/>
    <s v="High"/>
    <n v="1298"/>
    <n v="7"/>
    <n v="9086"/>
    <n v="7904.82"/>
    <n v="1414.82"/>
    <s v="Feb"/>
    <n v="2019"/>
  </r>
  <r>
    <s v="Channel Partners"/>
    <x v="2"/>
    <s v="Montana"/>
    <s v="High"/>
    <n v="604"/>
    <n v="12"/>
    <n v="7248"/>
    <n v="6305.76"/>
    <n v="4493.76"/>
    <s v="Jun"/>
    <n v="2019"/>
  </r>
  <r>
    <s v="Government"/>
    <x v="2"/>
    <s v="Montana"/>
    <s v="High"/>
    <n v="2255"/>
    <n v="20"/>
    <n v="45100"/>
    <n v="39237"/>
    <n v="16687"/>
    <s v="Jul"/>
    <n v="2019"/>
  </r>
  <r>
    <s v="Government"/>
    <x v="3"/>
    <s v="Montana"/>
    <s v="High"/>
    <n v="1249"/>
    <n v="20"/>
    <n v="24980"/>
    <n v="21732.6"/>
    <n v="9242.6"/>
    <s v="Oct"/>
    <n v="2019"/>
  </r>
  <r>
    <s v="Government"/>
    <x v="4"/>
    <s v="Paseo"/>
    <s v="High"/>
    <n v="1438.5"/>
    <n v="7"/>
    <n v="10069.5"/>
    <n v="8760.4650000000001"/>
    <n v="1567.9649999999999"/>
    <s v="Jan"/>
    <n v="2019"/>
  </r>
  <r>
    <s v="Small Business"/>
    <x v="0"/>
    <s v="Paseo"/>
    <s v="High"/>
    <n v="807"/>
    <n v="300"/>
    <n v="242100"/>
    <n v="210627"/>
    <n v="8877"/>
    <s v="Jan"/>
    <n v="2019"/>
  </r>
  <r>
    <s v="Government"/>
    <x v="4"/>
    <s v="Paseo"/>
    <s v="High"/>
    <n v="2641"/>
    <n v="20"/>
    <n v="52820"/>
    <n v="45953.4"/>
    <n v="19543.400000000001"/>
    <s v="Feb"/>
    <n v="2019"/>
  </r>
  <r>
    <s v="Government"/>
    <x v="0"/>
    <s v="Paseo"/>
    <s v="High"/>
    <n v="2708"/>
    <n v="20"/>
    <n v="54160"/>
    <n v="47119.199999999997"/>
    <n v="20039.2"/>
    <s v="Feb"/>
    <n v="2019"/>
  </r>
  <r>
    <s v="Government"/>
    <x v="3"/>
    <s v="Paseo"/>
    <s v="High"/>
    <n v="2632"/>
    <n v="350"/>
    <n v="921200"/>
    <n v="801444"/>
    <n v="117124"/>
    <s v="Jun"/>
    <n v="2019"/>
  </r>
  <r>
    <s v="Enterprise"/>
    <x v="3"/>
    <s v="Paseo"/>
    <s v="High"/>
    <n v="1583"/>
    <n v="125"/>
    <n v="197875"/>
    <n v="172151.25"/>
    <n v="-17808.75"/>
    <s v="Jun"/>
    <n v="2019"/>
  </r>
  <r>
    <s v="Channel Partners"/>
    <x v="2"/>
    <s v="Paseo"/>
    <s v="High"/>
    <n v="571"/>
    <n v="12"/>
    <n v="6852"/>
    <n v="5961.24"/>
    <n v="4248.24"/>
    <s v="Jul"/>
    <n v="2019"/>
  </r>
  <r>
    <s v="Government"/>
    <x v="1"/>
    <s v="Paseo"/>
    <s v="High"/>
    <n v="2696"/>
    <n v="7"/>
    <n v="18872"/>
    <n v="16418.64"/>
    <n v="2938.64"/>
    <s v="Aug"/>
    <n v="2019"/>
  </r>
  <r>
    <s v="Midmarket"/>
    <x v="3"/>
    <s v="Paseo"/>
    <s v="High"/>
    <n v="1565"/>
    <n v="15"/>
    <n v="23475"/>
    <n v="20423.25"/>
    <n v="4773.25"/>
    <s v="Oct"/>
    <n v="2019"/>
  </r>
  <r>
    <s v="Government"/>
    <x v="3"/>
    <s v="Paseo"/>
    <s v="High"/>
    <n v="1249"/>
    <n v="20"/>
    <n v="24980"/>
    <n v="21732.6"/>
    <n v="9242.6"/>
    <s v="Oct"/>
    <n v="2019"/>
  </r>
  <r>
    <s v="Government"/>
    <x v="0"/>
    <s v="Paseo"/>
    <s v="High"/>
    <n v="357"/>
    <n v="350"/>
    <n v="124950"/>
    <n v="108706.5"/>
    <n v="15886.5"/>
    <s v="Nov"/>
    <n v="2019"/>
  </r>
  <r>
    <s v="Channel Partners"/>
    <x v="0"/>
    <s v="Paseo"/>
    <s v="High"/>
    <n v="1013"/>
    <n v="12"/>
    <n v="12156"/>
    <n v="10575.72"/>
    <n v="7536.72"/>
    <s v="Dec"/>
    <n v="2019"/>
  </r>
  <r>
    <s v="Midmarket"/>
    <x v="1"/>
    <s v="Velo"/>
    <s v="High"/>
    <n v="3997.5"/>
    <n v="15"/>
    <n v="59962.5"/>
    <n v="52167.375"/>
    <n v="12192.375"/>
    <s v="Jan"/>
    <n v="2019"/>
  </r>
  <r>
    <s v="Government"/>
    <x v="3"/>
    <s v="Velo"/>
    <s v="High"/>
    <n v="2632"/>
    <n v="350"/>
    <n v="921200"/>
    <n v="801444"/>
    <n v="117124"/>
    <s v="Jun"/>
    <n v="2019"/>
  </r>
  <r>
    <s v="Government"/>
    <x v="1"/>
    <s v="Velo"/>
    <s v="High"/>
    <n v="1190"/>
    <n v="7"/>
    <n v="8330"/>
    <n v="7247.1"/>
    <n v="1297.0999999999999"/>
    <s v="Jun"/>
    <n v="2019"/>
  </r>
  <r>
    <s v="Channel Partners"/>
    <x v="2"/>
    <s v="Velo"/>
    <s v="High"/>
    <n v="604"/>
    <n v="12"/>
    <n v="7248"/>
    <n v="6305.76"/>
    <n v="4493.76"/>
    <s v="Jun"/>
    <n v="2019"/>
  </r>
  <r>
    <s v="Midmarket"/>
    <x v="0"/>
    <s v="Velo"/>
    <s v="High"/>
    <n v="660"/>
    <n v="15"/>
    <n v="9900"/>
    <n v="8613"/>
    <n v="2013"/>
    <s v="Sep"/>
    <n v="2018"/>
  </r>
  <r>
    <s v="Channel Partners"/>
    <x v="2"/>
    <s v="Velo"/>
    <s v="High"/>
    <n v="410"/>
    <n v="12"/>
    <n v="4920"/>
    <n v="4280.3999999999996"/>
    <n v="3050.4"/>
    <s v="Oct"/>
    <n v="2019"/>
  </r>
  <r>
    <s v="Small Business"/>
    <x v="2"/>
    <s v="Velo"/>
    <s v="High"/>
    <n v="2605"/>
    <n v="300"/>
    <n v="781500"/>
    <n v="679905"/>
    <n v="28655"/>
    <s v="Nov"/>
    <n v="2018"/>
  </r>
  <r>
    <s v="Channel Partners"/>
    <x v="0"/>
    <s v="Velo"/>
    <s v="High"/>
    <n v="1013"/>
    <n v="12"/>
    <n v="12156"/>
    <n v="10575.72"/>
    <n v="7536.72"/>
    <s v="Dec"/>
    <n v="2019"/>
  </r>
  <r>
    <s v="Enterprise"/>
    <x v="3"/>
    <s v="VTT"/>
    <s v="High"/>
    <n v="1583"/>
    <n v="125"/>
    <n v="197875"/>
    <n v="172151.25"/>
    <n v="-17808.75"/>
    <s v="Jun"/>
    <n v="2019"/>
  </r>
  <r>
    <s v="Midmarket"/>
    <x v="3"/>
    <s v="VTT"/>
    <s v="High"/>
    <n v="1565"/>
    <n v="15"/>
    <n v="23475"/>
    <n v="20423.25"/>
    <n v="4773.25"/>
    <s v="Oct"/>
    <n v="2019"/>
  </r>
  <r>
    <s v="Enterprise"/>
    <x v="3"/>
    <s v="Amarilla"/>
    <s v="High"/>
    <n v="1659"/>
    <n v="125"/>
    <n v="207375"/>
    <n v="180416.25"/>
    <n v="-18663.75"/>
    <s v="Jan"/>
    <n v="2019"/>
  </r>
  <r>
    <s v="Government"/>
    <x v="1"/>
    <s v="Amarilla"/>
    <s v="High"/>
    <n v="1190"/>
    <n v="7"/>
    <n v="8330"/>
    <n v="7247.1"/>
    <n v="1297.0999999999999"/>
    <s v="Jun"/>
    <n v="2019"/>
  </r>
  <r>
    <s v="Channel Partners"/>
    <x v="2"/>
    <s v="Amarilla"/>
    <s v="High"/>
    <n v="410"/>
    <n v="12"/>
    <n v="4920"/>
    <n v="4280.3999999999996"/>
    <n v="3050.4"/>
    <s v="Oct"/>
    <n v="2019"/>
  </r>
  <r>
    <s v="Channel Partners"/>
    <x v="0"/>
    <s v="Amarilla"/>
    <s v="High"/>
    <n v="1770"/>
    <n v="12"/>
    <n v="21240"/>
    <n v="18478.8"/>
    <n v="13168.8"/>
    <s v="Dec"/>
    <n v="2018"/>
  </r>
  <r>
    <s v="Government"/>
    <x v="2"/>
    <s v="Carretera"/>
    <s v="High"/>
    <n v="2579"/>
    <n v="20"/>
    <n v="51580"/>
    <n v="44358.8"/>
    <n v="18568.8"/>
    <s v="Apr"/>
    <n v="2019"/>
  </r>
  <r>
    <s v="Government"/>
    <x v="4"/>
    <s v="Carretera"/>
    <s v="High"/>
    <n v="1743"/>
    <n v="20"/>
    <n v="34860"/>
    <n v="29979.599999999999"/>
    <n v="12549.6"/>
    <s v="May"/>
    <n v="2019"/>
  </r>
  <r>
    <s v="Government"/>
    <x v="4"/>
    <s v="Carretera"/>
    <s v="High"/>
    <n v="2996"/>
    <n v="7"/>
    <n v="20972"/>
    <n v="18035.919999999998"/>
    <n v="3055.92"/>
    <s v="Oct"/>
    <n v="2018"/>
  </r>
  <r>
    <s v="Government"/>
    <x v="0"/>
    <s v="Carretera"/>
    <s v="High"/>
    <n v="280"/>
    <n v="7"/>
    <n v="1960"/>
    <n v="1685.6"/>
    <n v="285.60000000000002"/>
    <s v="Dec"/>
    <n v="2019"/>
  </r>
  <r>
    <s v="Government"/>
    <x v="1"/>
    <s v="Montana"/>
    <s v="High"/>
    <n v="293"/>
    <n v="7"/>
    <n v="2051"/>
    <n v="1763.86"/>
    <n v="298.86"/>
    <s v="Feb"/>
    <n v="2019"/>
  </r>
  <r>
    <s v="Government"/>
    <x v="4"/>
    <s v="Montana"/>
    <s v="High"/>
    <n v="2996"/>
    <n v="7"/>
    <n v="20972"/>
    <n v="18035.919999999998"/>
    <n v="3055.92"/>
    <s v="Oct"/>
    <n v="2018"/>
  </r>
  <r>
    <s v="Midmarket"/>
    <x v="0"/>
    <s v="Paseo"/>
    <s v="High"/>
    <n v="278"/>
    <n v="15"/>
    <n v="4170"/>
    <n v="3586.2"/>
    <n v="806.2"/>
    <s v="Feb"/>
    <n v="2019"/>
  </r>
  <r>
    <s v="Government"/>
    <x v="3"/>
    <s v="Paseo"/>
    <s v="High"/>
    <n v="2428"/>
    <n v="20"/>
    <n v="48560"/>
    <n v="41761.599999999999"/>
    <n v="17481.599999999999"/>
    <s v="Mar"/>
    <n v="2019"/>
  </r>
  <r>
    <s v="Midmarket"/>
    <x v="4"/>
    <s v="Paseo"/>
    <s v="High"/>
    <n v="1767"/>
    <n v="15"/>
    <n v="26505"/>
    <n v="22794.3"/>
    <n v="5124.3"/>
    <s v="Sep"/>
    <n v="2019"/>
  </r>
  <r>
    <s v="Channel Partners"/>
    <x v="1"/>
    <s v="Paseo"/>
    <s v="High"/>
    <n v="1393"/>
    <n v="12"/>
    <n v="16716"/>
    <n v="14375.76"/>
    <n v="10196.76"/>
    <s v="Oct"/>
    <n v="2019"/>
  </r>
  <r>
    <s v="Government"/>
    <x v="0"/>
    <s v="VTT"/>
    <s v="High"/>
    <n v="280"/>
    <n v="7"/>
    <n v="1960"/>
    <n v="1685.6"/>
    <n v="285.60000000000002"/>
    <s v="Dec"/>
    <n v="2019"/>
  </r>
  <r>
    <s v="Channel Partners"/>
    <x v="1"/>
    <s v="Amarilla"/>
    <s v="High"/>
    <n v="1393"/>
    <n v="12"/>
    <n v="16716"/>
    <n v="14375.76"/>
    <n v="10196.76"/>
    <s v="Oct"/>
    <n v="2019"/>
  </r>
  <r>
    <s v="Channel Partners"/>
    <x v="4"/>
    <s v="Amarilla"/>
    <s v="High"/>
    <n v="2015"/>
    <n v="12"/>
    <n v="24180"/>
    <n v="20794.8"/>
    <n v="14749.8"/>
    <s v="Dec"/>
    <n v="2018"/>
  </r>
  <r>
    <s v="Small Business"/>
    <x v="2"/>
    <s v="Carretera"/>
    <s v="High"/>
    <n v="801"/>
    <n v="300"/>
    <n v="240300"/>
    <n v="206658"/>
    <n v="6408"/>
    <s v="Jul"/>
    <n v="2019"/>
  </r>
  <r>
    <s v="Enterprise"/>
    <x v="1"/>
    <s v="Carretera"/>
    <s v="High"/>
    <n v="1023"/>
    <n v="125"/>
    <n v="127875"/>
    <n v="109972.5"/>
    <n v="-12787.5"/>
    <s v="Sep"/>
    <n v="2018"/>
  </r>
  <r>
    <s v="Small Business"/>
    <x v="3"/>
    <s v="Carretera"/>
    <s v="High"/>
    <n v="1496"/>
    <n v="300"/>
    <n v="448800"/>
    <n v="385968"/>
    <n v="11968"/>
    <s v="Oct"/>
    <n v="2019"/>
  </r>
  <r>
    <s v="Small Business"/>
    <x v="4"/>
    <s v="Carretera"/>
    <s v="High"/>
    <n v="1010"/>
    <n v="300"/>
    <n v="303000"/>
    <n v="260580"/>
    <n v="8080"/>
    <s v="Oct"/>
    <n v="2019"/>
  </r>
  <r>
    <s v="Midmarket"/>
    <x v="0"/>
    <s v="Carretera"/>
    <s v="High"/>
    <n v="1513"/>
    <n v="15"/>
    <n v="22695"/>
    <n v="19517.7"/>
    <n v="4387.7"/>
    <s v="Nov"/>
    <n v="2019"/>
  </r>
  <r>
    <s v="Midmarket"/>
    <x v="3"/>
    <s v="Carretera"/>
    <s v="High"/>
    <n v="2300"/>
    <n v="15"/>
    <n v="34500"/>
    <n v="29670"/>
    <n v="6670"/>
    <s v="Dec"/>
    <n v="2019"/>
  </r>
  <r>
    <s v="Enterprise"/>
    <x v="2"/>
    <s v="Carretera"/>
    <s v="High"/>
    <n v="2821"/>
    <n v="125"/>
    <n v="352625"/>
    <n v="303257.5"/>
    <n v="-35262.5"/>
    <s v="Dec"/>
    <n v="2018"/>
  </r>
  <r>
    <s v="Government"/>
    <x v="3"/>
    <s v="Montana"/>
    <s v="High"/>
    <n v="2227.5"/>
    <n v="350"/>
    <n v="779625"/>
    <n v="670477.5"/>
    <n v="91327.5"/>
    <s v="Jan"/>
    <n v="2019"/>
  </r>
  <r>
    <s v="Government"/>
    <x v="0"/>
    <s v="Montana"/>
    <s v="High"/>
    <n v="1199"/>
    <n v="350"/>
    <n v="419650"/>
    <n v="360899"/>
    <n v="49159"/>
    <s v="Apr"/>
    <n v="2019"/>
  </r>
  <r>
    <s v="Government"/>
    <x v="3"/>
    <s v="Montana"/>
    <s v="High"/>
    <n v="200"/>
    <n v="350"/>
    <n v="70000"/>
    <n v="60200"/>
    <n v="8200"/>
    <s v="May"/>
    <n v="2019"/>
  </r>
  <r>
    <s v="Government"/>
    <x v="3"/>
    <s v="Montana"/>
    <s v="High"/>
    <n v="388"/>
    <n v="7"/>
    <n v="2716"/>
    <n v="2335.7600000000002"/>
    <n v="395.76"/>
    <s v="Sep"/>
    <n v="2019"/>
  </r>
  <r>
    <s v="Government"/>
    <x v="2"/>
    <s v="Montana"/>
    <s v="High"/>
    <n v="1727"/>
    <n v="7"/>
    <n v="12089"/>
    <n v="10396.540000000001"/>
    <n v="1761.54"/>
    <s v="Oct"/>
    <n v="2018"/>
  </r>
  <r>
    <s v="Midmarket"/>
    <x v="3"/>
    <s v="Montana"/>
    <s v="High"/>
    <n v="2300"/>
    <n v="15"/>
    <n v="34500"/>
    <n v="29670"/>
    <n v="6670"/>
    <s v="Dec"/>
    <n v="2019"/>
  </r>
  <r>
    <s v="Government"/>
    <x v="2"/>
    <s v="Paseo"/>
    <s v="High"/>
    <n v="260"/>
    <n v="20"/>
    <n v="5200"/>
    <n v="4472"/>
    <n v="1872"/>
    <s v="Feb"/>
    <n v="2019"/>
  </r>
  <r>
    <s v="Midmarket"/>
    <x v="3"/>
    <s v="Paseo"/>
    <s v="High"/>
    <n v="2470"/>
    <n v="15"/>
    <n v="37050"/>
    <n v="31863"/>
    <n v="7163"/>
    <s v="Sep"/>
    <n v="2018"/>
  </r>
  <r>
    <s v="Midmarket"/>
    <x v="3"/>
    <s v="Paseo"/>
    <s v="High"/>
    <n v="1743"/>
    <n v="15"/>
    <n v="26145"/>
    <n v="22484.7"/>
    <n v="5054.7"/>
    <s v="Oct"/>
    <n v="2018"/>
  </r>
  <r>
    <s v="Channel Partners"/>
    <x v="4"/>
    <s v="Paseo"/>
    <s v="High"/>
    <n v="2914"/>
    <n v="12"/>
    <n v="34968"/>
    <n v="30072.48"/>
    <n v="21330.48"/>
    <s v="Oct"/>
    <n v="2019"/>
  </r>
  <r>
    <s v="Government"/>
    <x v="1"/>
    <s v="Paseo"/>
    <s v="High"/>
    <n v="1731"/>
    <n v="7"/>
    <n v="12117"/>
    <n v="10420.620000000001"/>
    <n v="1765.62"/>
    <s v="Oct"/>
    <n v="2019"/>
  </r>
  <r>
    <s v="Government"/>
    <x v="3"/>
    <s v="Paseo"/>
    <s v="High"/>
    <n v="700"/>
    <n v="350"/>
    <n v="245000"/>
    <n v="210700"/>
    <n v="28700"/>
    <s v="Nov"/>
    <n v="2019"/>
  </r>
  <r>
    <s v="Channel Partners"/>
    <x v="3"/>
    <s v="Paseo"/>
    <s v="High"/>
    <n v="2222"/>
    <n v="12"/>
    <n v="26664"/>
    <n v="22931.040000000001"/>
    <n v="16265.04"/>
    <s v="Nov"/>
    <n v="2018"/>
  </r>
  <r>
    <s v="Government"/>
    <x v="4"/>
    <s v="Paseo"/>
    <s v="High"/>
    <n v="1177"/>
    <n v="350"/>
    <n v="411950"/>
    <n v="354277"/>
    <n v="48257"/>
    <s v="Nov"/>
    <n v="2019"/>
  </r>
  <r>
    <s v="Government"/>
    <x v="1"/>
    <s v="Paseo"/>
    <s v="High"/>
    <n v="1922"/>
    <n v="350"/>
    <n v="672700"/>
    <n v="578522"/>
    <n v="78802"/>
    <s v="Nov"/>
    <n v="2018"/>
  </r>
  <r>
    <s v="Enterprise"/>
    <x v="2"/>
    <s v="Velo"/>
    <s v="High"/>
    <n v="1575"/>
    <n v="125"/>
    <n v="196875"/>
    <n v="169312.5"/>
    <n v="-19687.5"/>
    <s v="Feb"/>
    <n v="2019"/>
  </r>
  <r>
    <s v="Government"/>
    <x v="4"/>
    <s v="Velo"/>
    <s v="High"/>
    <n v="606"/>
    <n v="20"/>
    <n v="12120"/>
    <n v="10423.200000000001"/>
    <n v="4363.2"/>
    <s v="Apr"/>
    <n v="2019"/>
  </r>
  <r>
    <s v="Small Business"/>
    <x v="4"/>
    <s v="Velo"/>
    <s v="High"/>
    <n v="2460"/>
    <n v="300"/>
    <n v="738000"/>
    <n v="634680"/>
    <n v="19680"/>
    <s v="Jul"/>
    <n v="2019"/>
  </r>
  <r>
    <s v="Small Business"/>
    <x v="3"/>
    <s v="Velo"/>
    <s v="High"/>
    <n v="269"/>
    <n v="300"/>
    <n v="80700"/>
    <n v="69402"/>
    <n v="2152"/>
    <s v="Oct"/>
    <n v="2018"/>
  </r>
  <r>
    <s v="Small Business"/>
    <x v="0"/>
    <s v="Velo"/>
    <s v="High"/>
    <n v="2536"/>
    <n v="300"/>
    <n v="760800"/>
    <n v="654288"/>
    <n v="20288"/>
    <s v="Nov"/>
    <n v="2018"/>
  </r>
  <r>
    <s v="Government"/>
    <x v="2"/>
    <s v="VTT"/>
    <s v="High"/>
    <n v="2903"/>
    <n v="7"/>
    <n v="20321"/>
    <n v="17476.060000000001"/>
    <n v="2961.06"/>
    <s v="Mar"/>
    <n v="2019"/>
  </r>
  <r>
    <s v="Small Business"/>
    <x v="4"/>
    <s v="VTT"/>
    <s v="High"/>
    <n v="2541"/>
    <n v="300"/>
    <n v="762300"/>
    <n v="655578"/>
    <n v="20328"/>
    <s v="Aug"/>
    <n v="2019"/>
  </r>
  <r>
    <s v="Small Business"/>
    <x v="3"/>
    <s v="VTT"/>
    <s v="High"/>
    <n v="269"/>
    <n v="300"/>
    <n v="80700"/>
    <n v="69402"/>
    <n v="2152"/>
    <s v="Oct"/>
    <n v="2018"/>
  </r>
  <r>
    <s v="Small Business"/>
    <x v="3"/>
    <s v="VTT"/>
    <s v="High"/>
    <n v="1496"/>
    <n v="300"/>
    <n v="448800"/>
    <n v="385968"/>
    <n v="11968"/>
    <s v="Oct"/>
    <n v="2019"/>
  </r>
  <r>
    <s v="Small Business"/>
    <x v="4"/>
    <s v="VTT"/>
    <s v="High"/>
    <n v="1010"/>
    <n v="300"/>
    <n v="303000"/>
    <n v="260580"/>
    <n v="8080"/>
    <s v="Oct"/>
    <n v="2019"/>
  </r>
  <r>
    <s v="Government"/>
    <x v="1"/>
    <s v="VTT"/>
    <s v="High"/>
    <n v="1281"/>
    <n v="350"/>
    <n v="448350"/>
    <n v="385581"/>
    <n v="52521"/>
    <s v="Dec"/>
    <n v="2018"/>
  </r>
  <r>
    <s v="Small Business"/>
    <x v="3"/>
    <s v="Amarilla"/>
    <s v="High"/>
    <n v="888"/>
    <n v="300"/>
    <n v="266400"/>
    <n v="229104"/>
    <n v="7104"/>
    <s v="Mar"/>
    <n v="2019"/>
  </r>
  <r>
    <s v="Enterprise"/>
    <x v="4"/>
    <s v="Amarilla"/>
    <s v="High"/>
    <n v="2844"/>
    <n v="125"/>
    <n v="355500"/>
    <n v="305730"/>
    <n v="-35550"/>
    <s v="May"/>
    <n v="2019"/>
  </r>
  <r>
    <s v="Channel Partners"/>
    <x v="1"/>
    <s v="Amarilla"/>
    <s v="High"/>
    <n v="2475"/>
    <n v="12"/>
    <n v="29700"/>
    <n v="25542"/>
    <n v="18117"/>
    <s v="Aug"/>
    <n v="2019"/>
  </r>
  <r>
    <s v="Midmarket"/>
    <x v="3"/>
    <s v="Amarilla"/>
    <s v="High"/>
    <n v="1743"/>
    <n v="15"/>
    <n v="26145"/>
    <n v="22484.7"/>
    <n v="5054.7"/>
    <s v="Oct"/>
    <n v="2018"/>
  </r>
  <r>
    <s v="Channel Partners"/>
    <x v="4"/>
    <s v="Amarilla"/>
    <s v="High"/>
    <n v="2914"/>
    <n v="12"/>
    <n v="34968"/>
    <n v="30072.48"/>
    <n v="21330.48"/>
    <s v="Oct"/>
    <n v="2019"/>
  </r>
  <r>
    <s v="Government"/>
    <x v="1"/>
    <s v="Amarilla"/>
    <s v="High"/>
    <n v="1731"/>
    <n v="7"/>
    <n v="12117"/>
    <n v="10420.620000000001"/>
    <n v="1765.62"/>
    <s v="Oct"/>
    <n v="2019"/>
  </r>
  <r>
    <s v="Government"/>
    <x v="2"/>
    <s v="Amarilla"/>
    <s v="High"/>
    <n v="1727"/>
    <n v="7"/>
    <n v="12089"/>
    <n v="10396.540000000001"/>
    <n v="1761.54"/>
    <s v="Oct"/>
    <n v="2018"/>
  </r>
  <r>
    <s v="Midmarket"/>
    <x v="2"/>
    <s v="Amarilla"/>
    <s v="High"/>
    <n v="1870"/>
    <n v="15"/>
    <n v="28050"/>
    <n v="24123"/>
    <n v="5423"/>
    <s v="Nov"/>
    <n v="2018"/>
  </r>
  <r>
    <s v="Enterprise"/>
    <x v="1"/>
    <s v="Carretera"/>
    <s v="High"/>
    <n v="1174"/>
    <n v="125"/>
    <n v="146750"/>
    <n v="124737.5"/>
    <n v="-16142.5"/>
    <s v="Aug"/>
    <n v="2019"/>
  </r>
  <r>
    <s v="Enterprise"/>
    <x v="0"/>
    <s v="Carretera"/>
    <s v="High"/>
    <n v="2767"/>
    <n v="125"/>
    <n v="345875"/>
    <n v="293993.75"/>
    <n v="-38046.25"/>
    <s v="Aug"/>
    <n v="2019"/>
  </r>
  <r>
    <s v="Enterprise"/>
    <x v="0"/>
    <s v="Carretera"/>
    <s v="High"/>
    <n v="1085"/>
    <n v="125"/>
    <n v="135625"/>
    <n v="115281.25"/>
    <n v="-14918.75"/>
    <s v="Oct"/>
    <n v="2019"/>
  </r>
  <r>
    <s v="Small Business"/>
    <x v="2"/>
    <s v="Montana"/>
    <s v="High"/>
    <n v="546"/>
    <n v="300"/>
    <n v="163800"/>
    <n v="139230"/>
    <n v="2730"/>
    <s v="Oct"/>
    <n v="2019"/>
  </r>
  <r>
    <s v="Government"/>
    <x v="0"/>
    <s v="Paseo"/>
    <s v="High"/>
    <n v="1158"/>
    <n v="20"/>
    <n v="23160"/>
    <n v="19686"/>
    <n v="8106"/>
    <s v="Mar"/>
    <n v="2019"/>
  </r>
  <r>
    <s v="Midmarket"/>
    <x v="3"/>
    <s v="Paseo"/>
    <s v="High"/>
    <n v="1614"/>
    <n v="15"/>
    <n v="24210"/>
    <n v="20578.5"/>
    <n v="4438.5"/>
    <s v="Apr"/>
    <n v="2019"/>
  </r>
  <r>
    <s v="Government"/>
    <x v="2"/>
    <s v="Paseo"/>
    <s v="High"/>
    <n v="2535"/>
    <n v="7"/>
    <n v="17745"/>
    <n v="15083.25"/>
    <n v="2408.25"/>
    <s v="Apr"/>
    <n v="2019"/>
  </r>
  <r>
    <s v="Government"/>
    <x v="2"/>
    <s v="Paseo"/>
    <s v="High"/>
    <n v="2851"/>
    <n v="350"/>
    <n v="997850"/>
    <n v="848172.5"/>
    <n v="106912.5"/>
    <s v="May"/>
    <n v="2019"/>
  </r>
  <r>
    <s v="Midmarket"/>
    <x v="3"/>
    <s v="Paseo"/>
    <s v="High"/>
    <n v="2559"/>
    <n v="15"/>
    <n v="38385"/>
    <n v="32627.25"/>
    <n v="7037.25"/>
    <s v="Aug"/>
    <n v="2019"/>
  </r>
  <r>
    <s v="Government"/>
    <x v="4"/>
    <s v="Paseo"/>
    <s v="High"/>
    <n v="267"/>
    <n v="20"/>
    <n v="5340"/>
    <n v="4539"/>
    <n v="1869"/>
    <s v="Oct"/>
    <n v="2018"/>
  </r>
  <r>
    <s v="Enterprise"/>
    <x v="0"/>
    <s v="Paseo"/>
    <s v="High"/>
    <n v="1085"/>
    <n v="125"/>
    <n v="135625"/>
    <n v="115281.25"/>
    <n v="-14918.75"/>
    <s v="Oct"/>
    <n v="2019"/>
  </r>
  <r>
    <s v="Midmarket"/>
    <x v="0"/>
    <s v="Paseo"/>
    <s v="High"/>
    <n v="1175"/>
    <n v="15"/>
    <n v="17625"/>
    <n v="14981.25"/>
    <n v="3231.25"/>
    <s v="Oct"/>
    <n v="2019"/>
  </r>
  <r>
    <s v="Government"/>
    <x v="4"/>
    <s v="Paseo"/>
    <s v="High"/>
    <n v="2007"/>
    <n v="350"/>
    <n v="702450"/>
    <n v="597082.5"/>
    <n v="75262.5"/>
    <s v="Nov"/>
    <n v="2018"/>
  </r>
  <r>
    <s v="Government"/>
    <x v="2"/>
    <s v="Paseo"/>
    <s v="High"/>
    <n v="2151"/>
    <n v="350"/>
    <n v="752850"/>
    <n v="639922.5"/>
    <n v="80662.5"/>
    <s v="Nov"/>
    <n v="2018"/>
  </r>
  <r>
    <s v="Channel Partners"/>
    <x v="4"/>
    <s v="Paseo"/>
    <s v="High"/>
    <n v="914"/>
    <n v="12"/>
    <n v="10968"/>
    <n v="9322.7999999999993"/>
    <n v="6580.8"/>
    <s v="Dec"/>
    <n v="2019"/>
  </r>
  <r>
    <s v="Government"/>
    <x v="1"/>
    <s v="Paseo"/>
    <s v="High"/>
    <n v="293"/>
    <n v="20"/>
    <n v="5860"/>
    <n v="4981"/>
    <n v="2051"/>
    <s v="Dec"/>
    <n v="2019"/>
  </r>
  <r>
    <s v="Channel Partners"/>
    <x v="2"/>
    <s v="Velo"/>
    <s v="High"/>
    <n v="500"/>
    <n v="12"/>
    <n v="6000"/>
    <n v="5100"/>
    <n v="3600"/>
    <s v="Mar"/>
    <n v="2019"/>
  </r>
  <r>
    <s v="Midmarket"/>
    <x v="1"/>
    <s v="Velo"/>
    <s v="High"/>
    <n v="2826"/>
    <n v="15"/>
    <n v="42390"/>
    <n v="36031.5"/>
    <n v="7771.5"/>
    <s v="May"/>
    <n v="2019"/>
  </r>
  <r>
    <s v="Enterprise"/>
    <x v="1"/>
    <s v="Velo"/>
    <s v="High"/>
    <n v="663"/>
    <n v="125"/>
    <n v="82875"/>
    <n v="70443.75"/>
    <n v="-9116.25"/>
    <s v="Sep"/>
    <n v="2019"/>
  </r>
  <r>
    <s v="Small Business"/>
    <x v="4"/>
    <s v="Velo"/>
    <s v="High"/>
    <n v="2574"/>
    <n v="300"/>
    <n v="772200"/>
    <n v="656370"/>
    <n v="12870"/>
    <s v="Nov"/>
    <n v="2018"/>
  </r>
  <r>
    <s v="Enterprise"/>
    <x v="4"/>
    <s v="Velo"/>
    <s v="High"/>
    <n v="2438"/>
    <n v="125"/>
    <n v="304750"/>
    <n v="259037.5"/>
    <n v="-33522.5"/>
    <s v="Dec"/>
    <n v="2018"/>
  </r>
  <r>
    <s v="Channel Partners"/>
    <x v="4"/>
    <s v="Velo"/>
    <s v="High"/>
    <n v="914"/>
    <n v="12"/>
    <n v="10968"/>
    <n v="9322.7999999999993"/>
    <n v="6580.8"/>
    <s v="Dec"/>
    <n v="2019"/>
  </r>
  <r>
    <s v="Government"/>
    <x v="3"/>
    <s v="VTT"/>
    <s v="High"/>
    <n v="865.5"/>
    <n v="20"/>
    <n v="17310"/>
    <n v="14713.5"/>
    <n v="6058.5"/>
    <s v="Jul"/>
    <n v="2019"/>
  </r>
  <r>
    <s v="Midmarket"/>
    <x v="0"/>
    <s v="VTT"/>
    <s v="High"/>
    <n v="492"/>
    <n v="15"/>
    <n v="7380"/>
    <n v="6273"/>
    <n v="1353"/>
    <s v="Jul"/>
    <n v="2019"/>
  </r>
  <r>
    <s v="Government"/>
    <x v="4"/>
    <s v="VTT"/>
    <s v="High"/>
    <n v="267"/>
    <n v="20"/>
    <n v="5340"/>
    <n v="4539"/>
    <n v="1869"/>
    <s v="Oct"/>
    <n v="2018"/>
  </r>
  <r>
    <s v="Midmarket"/>
    <x v="0"/>
    <s v="VTT"/>
    <s v="High"/>
    <n v="1175"/>
    <n v="15"/>
    <n v="17625"/>
    <n v="14981.25"/>
    <n v="3231.25"/>
    <s v="Oct"/>
    <n v="2019"/>
  </r>
  <r>
    <s v="Enterprise"/>
    <x v="3"/>
    <s v="VTT"/>
    <s v="High"/>
    <n v="2954"/>
    <n v="125"/>
    <n v="369250"/>
    <n v="313862.5"/>
    <n v="-40617.5"/>
    <s v="Nov"/>
    <n v="2018"/>
  </r>
  <r>
    <s v="Enterprise"/>
    <x v="0"/>
    <s v="VTT"/>
    <s v="High"/>
    <n v="552"/>
    <n v="125"/>
    <n v="69000"/>
    <n v="58650"/>
    <n v="-7590"/>
    <s v="Nov"/>
    <n v="2019"/>
  </r>
  <r>
    <s v="Government"/>
    <x v="1"/>
    <s v="VTT"/>
    <s v="High"/>
    <n v="293"/>
    <n v="20"/>
    <n v="5860"/>
    <n v="4981"/>
    <n v="2051"/>
    <s v="Dec"/>
    <n v="2019"/>
  </r>
  <r>
    <s v="Small Business"/>
    <x v="1"/>
    <s v="Amarilla"/>
    <s v="High"/>
    <n v="2475"/>
    <n v="300"/>
    <n v="742500"/>
    <n v="631125"/>
    <n v="12375"/>
    <s v="Mar"/>
    <n v="2019"/>
  </r>
  <r>
    <s v="Small Business"/>
    <x v="2"/>
    <s v="Amarilla"/>
    <s v="High"/>
    <n v="546"/>
    <n v="300"/>
    <n v="163800"/>
    <n v="139230"/>
    <n v="2730"/>
    <s v="Oct"/>
    <n v="2019"/>
  </r>
  <r>
    <s v="Government"/>
    <x v="2"/>
    <s v="Montana"/>
    <s v="High"/>
    <n v="1368"/>
    <n v="7"/>
    <n v="9576"/>
    <n v="8139.6"/>
    <n v="1299.5999999999999"/>
    <s v="Feb"/>
    <n v="2019"/>
  </r>
  <r>
    <s v="Government"/>
    <x v="3"/>
    <s v="Paseo"/>
    <s v="High"/>
    <n v="723"/>
    <n v="7"/>
    <n v="5061"/>
    <n v="4301.8500000000004"/>
    <n v="686.85"/>
    <s v="Apr"/>
    <n v="2019"/>
  </r>
  <r>
    <s v="Channel Partners"/>
    <x v="4"/>
    <s v="VTT"/>
    <s v="High"/>
    <n v="1806"/>
    <n v="12"/>
    <n v="21672"/>
    <n v="18421.2"/>
    <n v="13003.2"/>
    <s v="May"/>
    <n v="2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BC2C0-FC6B-483C-9CF6-CA4B1929D5A5}" name="information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>
  <location ref="A3:D4" firstHeaderRow="0" firstDataRow="1" firstDataCol="1"/>
  <pivotFields count="11">
    <pivotField showAll="0"/>
    <pivotField axis="axisRow" showAll="0">
      <items count="6">
        <item h="1" x="3"/>
        <item x="1"/>
        <item h="1" x="0"/>
        <item h="1" x="2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"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 Price" fld="5" baseField="0" baseItem="0"/>
    <dataField name="Count of Sale Price2" fld="5" subtotal="count" baseField="1" baseItem="0"/>
    <dataField name="Average of Sale Price3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14DA989-F26A-464D-BBCB-1AFAA6B4319A}" autoFormatId="16" applyNumberFormats="0" applyBorderFormats="0" applyFontFormats="0" applyPatternFormats="0" applyAlignmentFormats="0" applyWidthHeightFormats="0">
  <queryTableRefresh nextId="12">
    <queryTableFields count="11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Sale Price" tableColumnId="6"/>
      <queryTableField id="7" name="Gross Sales" tableColumnId="7"/>
      <queryTableField id="8" name=" Sales" tableColumnId="8"/>
      <queryTableField id="9" name="Profit" tableColumnId="9"/>
      <queryTableField id="10" name="Month Name" tableColumnId="10"/>
      <queryTableField id="11" name="Yea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ABCE7-50F5-4952-9980-73B25D21091A}" name="info" displayName="info" ref="A1:K706" tableType="queryTable" totalsRowShown="0">
  <autoFilter ref="A1:K706" xr:uid="{4D5ABCE7-50F5-4952-9980-73B25D21091A}">
    <filterColumn colId="1">
      <filters>
        <filter val="Canada"/>
        <filter val="France"/>
        <filter val="Germany"/>
      </filters>
    </filterColumn>
    <filterColumn colId="2">
      <filters>
        <filter val="Carretera"/>
        <filter val="Montana"/>
      </filters>
    </filterColumn>
  </autoFilter>
  <tableColumns count="11">
    <tableColumn id="1" xr3:uid="{36C5BF42-30C4-47FD-A6AC-6FBC42908297}" uniqueName="1" name="Segment" queryTableFieldId="1" dataDxfId="4"/>
    <tableColumn id="2" xr3:uid="{F0DCDB91-A91E-4894-9875-95C86C7A3772}" uniqueName="2" name="Country" queryTableFieldId="2" dataDxfId="3"/>
    <tableColumn id="3" xr3:uid="{1B583815-0BB7-458D-B888-6210969C03A3}" uniqueName="3" name="Product" queryTableFieldId="3" dataDxfId="2"/>
    <tableColumn id="4" xr3:uid="{641B1107-BE26-4152-82D5-20025DFE93EE}" uniqueName="4" name="Discount Band" queryTableFieldId="4" dataDxfId="1"/>
    <tableColumn id="5" xr3:uid="{00D7AAFB-3EB4-4334-A8EF-197055211778}" uniqueName="5" name="Units Sold" queryTableFieldId="5"/>
    <tableColumn id="6" xr3:uid="{B775AAAB-AF92-4347-ADCA-1B144FCF9C4B}" uniqueName="6" name="Sale Price" queryTableFieldId="6"/>
    <tableColumn id="7" xr3:uid="{F3A201D2-9FA7-4E0F-92D8-CA60A7CC66AE}" uniqueName="7" name="Gross Sales" queryTableFieldId="7"/>
    <tableColumn id="8" xr3:uid="{2939605C-854C-48AA-927B-02BFDE737CB2}" uniqueName="8" name=" Sales" queryTableFieldId="8"/>
    <tableColumn id="9" xr3:uid="{448FA16F-F287-41C0-A54A-A16A94540853}" uniqueName="9" name="Profit" queryTableFieldId="9"/>
    <tableColumn id="10" xr3:uid="{06674706-5DD8-4AF6-902B-FF79DEB22A5F}" uniqueName="10" name="Month Name" queryTableFieldId="10" dataDxfId="0"/>
    <tableColumn id="11" xr3:uid="{34892BFF-6B3B-4126-920D-1482F1B3C4F1}" uniqueName="11" name="Year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K706" totalsRowShown="0">
  <autoFilter ref="A1:K706" xr:uid="{E03748D2-FF09-425C-ABFE-CA03D4B7DAE8}">
    <filterColumn colId="0">
      <filters>
        <filter val="Channel Partners"/>
      </filters>
    </filterColumn>
    <filterColumn colId="1">
      <filters>
        <filter val="Canada"/>
      </filters>
    </filterColumn>
  </autoFilter>
  <tableColumns count="11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 dataDxfId="14"/>
    <tableColumn id="7" xr3:uid="{DC40FEC0-18A9-4FFC-9AAD-8A1B694DCDCF}" name="Sale Price" dataDxfId="13"/>
    <tableColumn id="8" xr3:uid="{746FEE0C-A4F0-44AC-A84C-F9F5485C0C57}" name="Gross Sales" dataDxfId="12"/>
    <tableColumn id="9" xr3:uid="{154FF015-0FF4-44E8-ABE3-8698CCFD1DD5}" name=" Sales" dataDxfId="11"/>
    <tableColumn id="11" xr3:uid="{8A89A2D1-7C9B-42FE-A890-55B7DE575B32}" name="Profit" dataDxfId="10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25890-D7A3-4562-A4B6-BED4CDB29CF9}" name="Table13" displayName="Table13" ref="A1:K706" totalsRowShown="0">
  <autoFilter ref="A1:K706" xr:uid="{E03748D2-FF09-425C-ABFE-CA03D4B7DAE8}"/>
  <tableColumns count="11">
    <tableColumn id="1" xr3:uid="{9DB2A1BD-4B6A-47C1-87A6-CE97264014D7}" name="Segment"/>
    <tableColumn id="2" xr3:uid="{B6555217-C17E-4F5E-B21D-4144EE2E0FD4}" name="Country"/>
    <tableColumn id="3" xr3:uid="{36941A95-D23B-4E32-998C-C3EB6494D4AE}" name="Product"/>
    <tableColumn id="4" xr3:uid="{EBB3BF6E-9864-4941-945C-1A6ACDB3D0E0}" name="Discount Band"/>
    <tableColumn id="5" xr3:uid="{32510714-3010-4ADD-BB75-63C118619BE3}" name="Units Sold" dataDxfId="9"/>
    <tableColumn id="7" xr3:uid="{E3AEF5E0-1B82-4D85-A9DF-45C5707C2B72}" name="Sale Price" dataDxfId="8"/>
    <tableColumn id="8" xr3:uid="{909DF005-24F9-4D0D-BC13-E75072570CD1}" name="Gross Sales" dataDxfId="7"/>
    <tableColumn id="9" xr3:uid="{04EFCA69-EC6F-4798-9FD1-C2FA0CF97E3A}" name=" Sales" dataDxfId="6"/>
    <tableColumn id="11" xr3:uid="{CAFA6EEA-8F9E-454D-8EF0-BC5479963F83}" name="Profit" dataDxfId="5"/>
    <tableColumn id="14" xr3:uid="{A8663DFA-5EAE-4A79-8DD8-2F20A8F0F2D8}" name="Month Name"/>
    <tableColumn id="15" xr3:uid="{C0DEB9E3-571F-4B72-A3E3-CA3A5C1351FF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1500-C727-4A35-99E6-555734780287}">
  <dimension ref="A3:F9"/>
  <sheetViews>
    <sheetView tabSelected="1" zoomScale="145" zoomScaleNormal="145" workbookViewId="0">
      <selection activeCell="C5" sqref="C5"/>
    </sheetView>
  </sheetViews>
  <sheetFormatPr defaultRowHeight="14.4" x14ac:dyDescent="0.3"/>
  <cols>
    <col min="1" max="1" width="10" bestFit="1" customWidth="1"/>
    <col min="2" max="2" width="15.77734375" bestFit="1" customWidth="1"/>
    <col min="3" max="3" width="18.21875" bestFit="1" customWidth="1"/>
    <col min="4" max="4" width="20.33203125" bestFit="1" customWidth="1"/>
    <col min="5" max="5" width="15.5546875" bestFit="1" customWidth="1"/>
    <col min="6" max="6" width="10.77734375" bestFit="1" customWidth="1"/>
  </cols>
  <sheetData>
    <row r="3" spans="1:6" x14ac:dyDescent="0.3">
      <c r="A3" s="5" t="s">
        <v>38</v>
      </c>
      <c r="B3" t="s">
        <v>51</v>
      </c>
      <c r="C3" t="s">
        <v>52</v>
      </c>
      <c r="D3" t="s">
        <v>53</v>
      </c>
    </row>
    <row r="4" spans="1:6" x14ac:dyDescent="0.3">
      <c r="A4" s="6" t="s">
        <v>14</v>
      </c>
      <c r="B4" s="4">
        <v>16725</v>
      </c>
      <c r="C4" s="4">
        <v>142</v>
      </c>
      <c r="D4" s="4">
        <v>117.78169014084507</v>
      </c>
    </row>
    <row r="6" spans="1:6" x14ac:dyDescent="0.3">
      <c r="F6" t="s">
        <v>54</v>
      </c>
    </row>
    <row r="7" spans="1:6" x14ac:dyDescent="0.3">
      <c r="F7" t="s">
        <v>55</v>
      </c>
    </row>
    <row r="8" spans="1:6" x14ac:dyDescent="0.3">
      <c r="F8" t="s">
        <v>56</v>
      </c>
    </row>
    <row r="9" spans="1:6" x14ac:dyDescent="0.3">
      <c r="F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F0A2-C5E6-4A6F-93D3-C58268E46525}">
  <dimension ref="A1:K706"/>
  <sheetViews>
    <sheetView workbookViewId="0">
      <selection activeCell="C4" sqref="C4"/>
    </sheetView>
  </sheetViews>
  <sheetFormatPr defaultRowHeight="14.4" x14ac:dyDescent="0.3"/>
  <cols>
    <col min="1" max="1" width="14.88671875" bestFit="1" customWidth="1"/>
    <col min="2" max="2" width="10" bestFit="1" customWidth="1"/>
    <col min="3" max="3" width="9.88671875" bestFit="1" customWidth="1"/>
    <col min="4" max="4" width="15.44140625" bestFit="1" customWidth="1"/>
    <col min="5" max="5" width="11.6640625" bestFit="1" customWidth="1"/>
    <col min="6" max="6" width="11.21875" bestFit="1" customWidth="1"/>
    <col min="7" max="7" width="12.44140625" bestFit="1" customWidth="1"/>
    <col min="8" max="8" width="11" bestFit="1" customWidth="1"/>
    <col min="9" max="9" width="10" bestFit="1" customWidth="1"/>
    <col min="10" max="10" width="14.44140625" bestFit="1" customWidth="1"/>
    <col min="11" max="11" width="6.88671875" bestFit="1" customWidth="1"/>
  </cols>
  <sheetData>
    <row r="1" spans="1:11" x14ac:dyDescent="0.3">
      <c r="A1" t="s">
        <v>39</v>
      </c>
      <c r="B1" t="s">
        <v>38</v>
      </c>
      <c r="C1" t="s">
        <v>37</v>
      </c>
      <c r="D1" t="s">
        <v>36</v>
      </c>
      <c r="E1" t="s">
        <v>35</v>
      </c>
      <c r="F1" t="s">
        <v>34</v>
      </c>
      <c r="G1" t="s">
        <v>33</v>
      </c>
      <c r="H1" t="s">
        <v>32</v>
      </c>
      <c r="I1" t="s">
        <v>31</v>
      </c>
      <c r="J1" t="s">
        <v>30</v>
      </c>
      <c r="K1" t="s">
        <v>29</v>
      </c>
    </row>
    <row r="2" spans="1:11" x14ac:dyDescent="0.3">
      <c r="A2" s="4" t="s">
        <v>6</v>
      </c>
      <c r="B2" s="4" t="s">
        <v>41</v>
      </c>
      <c r="C2" s="4" t="s">
        <v>23</v>
      </c>
      <c r="D2" s="4" t="s">
        <v>28</v>
      </c>
      <c r="E2">
        <v>1618.5</v>
      </c>
      <c r="F2">
        <v>20</v>
      </c>
      <c r="G2">
        <v>32370</v>
      </c>
      <c r="H2">
        <v>32370</v>
      </c>
      <c r="I2">
        <v>16185</v>
      </c>
      <c r="J2" s="4" t="s">
        <v>24</v>
      </c>
      <c r="K2">
        <v>2019</v>
      </c>
    </row>
    <row r="3" spans="1:11" x14ac:dyDescent="0.3">
      <c r="A3" s="4" t="s">
        <v>6</v>
      </c>
      <c r="B3" s="4" t="s">
        <v>41</v>
      </c>
      <c r="C3" s="4" t="s">
        <v>23</v>
      </c>
      <c r="D3" s="4" t="s">
        <v>28</v>
      </c>
      <c r="E3">
        <v>1321</v>
      </c>
      <c r="F3">
        <v>20</v>
      </c>
      <c r="G3">
        <v>26420</v>
      </c>
      <c r="H3">
        <v>26420</v>
      </c>
      <c r="I3">
        <v>13210</v>
      </c>
      <c r="J3" s="4" t="s">
        <v>24</v>
      </c>
      <c r="K3">
        <v>2019</v>
      </c>
    </row>
    <row r="4" spans="1:11" x14ac:dyDescent="0.3">
      <c r="A4" s="4" t="s">
        <v>18</v>
      </c>
      <c r="B4" s="4" t="s">
        <v>14</v>
      </c>
      <c r="C4" s="4" t="s">
        <v>23</v>
      </c>
      <c r="D4" s="4" t="s">
        <v>28</v>
      </c>
      <c r="E4">
        <v>2178</v>
      </c>
      <c r="F4">
        <v>15</v>
      </c>
      <c r="G4">
        <v>32670</v>
      </c>
      <c r="H4">
        <v>32670</v>
      </c>
      <c r="I4">
        <v>10890</v>
      </c>
      <c r="J4" s="4" t="s">
        <v>25</v>
      </c>
      <c r="K4">
        <v>2019</v>
      </c>
    </row>
    <row r="5" spans="1:11" x14ac:dyDescent="0.3">
      <c r="A5" s="4" t="s">
        <v>18</v>
      </c>
      <c r="B5" s="4" t="s">
        <v>41</v>
      </c>
      <c r="C5" s="4" t="s">
        <v>23</v>
      </c>
      <c r="D5" s="4" t="s">
        <v>28</v>
      </c>
      <c r="E5">
        <v>888</v>
      </c>
      <c r="F5">
        <v>15</v>
      </c>
      <c r="G5">
        <v>13320</v>
      </c>
      <c r="H5">
        <v>13320</v>
      </c>
      <c r="I5">
        <v>4440</v>
      </c>
      <c r="J5" s="4" t="s">
        <v>25</v>
      </c>
      <c r="K5">
        <v>2019</v>
      </c>
    </row>
    <row r="6" spans="1:11" hidden="1" x14ac:dyDescent="0.3">
      <c r="A6" s="4" t="s">
        <v>18</v>
      </c>
      <c r="B6" s="4" t="s">
        <v>9</v>
      </c>
      <c r="C6" s="4" t="s">
        <v>23</v>
      </c>
      <c r="D6" s="4" t="s">
        <v>28</v>
      </c>
      <c r="E6">
        <v>2470</v>
      </c>
      <c r="F6">
        <v>15</v>
      </c>
      <c r="G6">
        <v>37050</v>
      </c>
      <c r="H6">
        <v>37050</v>
      </c>
      <c r="I6">
        <v>12350</v>
      </c>
      <c r="J6" s="4" t="s">
        <v>25</v>
      </c>
      <c r="K6">
        <v>2019</v>
      </c>
    </row>
    <row r="7" spans="1:11" x14ac:dyDescent="0.3">
      <c r="A7" s="4" t="s">
        <v>6</v>
      </c>
      <c r="B7" s="4" t="s">
        <v>41</v>
      </c>
      <c r="C7" s="4" t="s">
        <v>23</v>
      </c>
      <c r="D7" s="4" t="s">
        <v>28</v>
      </c>
      <c r="E7">
        <v>1513</v>
      </c>
      <c r="F7">
        <v>350</v>
      </c>
      <c r="G7">
        <v>529550</v>
      </c>
      <c r="H7">
        <v>529550</v>
      </c>
      <c r="I7">
        <v>136170</v>
      </c>
      <c r="J7" s="4" t="s">
        <v>15</v>
      </c>
      <c r="K7">
        <v>2019</v>
      </c>
    </row>
    <row r="8" spans="1:11" x14ac:dyDescent="0.3">
      <c r="A8" s="4" t="s">
        <v>18</v>
      </c>
      <c r="B8" s="4" t="s">
        <v>41</v>
      </c>
      <c r="C8" s="4" t="s">
        <v>8</v>
      </c>
      <c r="D8" s="4" t="s">
        <v>28</v>
      </c>
      <c r="E8">
        <v>921</v>
      </c>
      <c r="F8">
        <v>15</v>
      </c>
      <c r="G8">
        <v>13815</v>
      </c>
      <c r="H8">
        <v>13815</v>
      </c>
      <c r="I8">
        <v>4605</v>
      </c>
      <c r="J8" s="4" t="s">
        <v>13</v>
      </c>
      <c r="K8">
        <v>2019</v>
      </c>
    </row>
    <row r="9" spans="1:11" x14ac:dyDescent="0.3">
      <c r="A9" s="4" t="s">
        <v>3</v>
      </c>
      <c r="B9" s="4" t="s">
        <v>40</v>
      </c>
      <c r="C9" s="4" t="s">
        <v>8</v>
      </c>
      <c r="D9" s="4" t="s">
        <v>28</v>
      </c>
      <c r="E9">
        <v>2518</v>
      </c>
      <c r="F9">
        <v>12</v>
      </c>
      <c r="G9">
        <v>30216</v>
      </c>
      <c r="H9">
        <v>30216</v>
      </c>
      <c r="I9">
        <v>22662</v>
      </c>
      <c r="J9" s="4" t="s">
        <v>25</v>
      </c>
      <c r="K9">
        <v>2019</v>
      </c>
    </row>
    <row r="10" spans="1:11" x14ac:dyDescent="0.3">
      <c r="A10" s="4" t="s">
        <v>6</v>
      </c>
      <c r="B10" s="4" t="s">
        <v>14</v>
      </c>
      <c r="C10" s="4" t="s">
        <v>8</v>
      </c>
      <c r="D10" s="4" t="s">
        <v>28</v>
      </c>
      <c r="E10">
        <v>1899</v>
      </c>
      <c r="F10">
        <v>20</v>
      </c>
      <c r="G10">
        <v>37980</v>
      </c>
      <c r="H10">
        <v>37980</v>
      </c>
      <c r="I10">
        <v>18990</v>
      </c>
      <c r="J10" s="4" t="s">
        <v>25</v>
      </c>
      <c r="K10">
        <v>2019</v>
      </c>
    </row>
    <row r="11" spans="1:11" x14ac:dyDescent="0.3">
      <c r="A11" s="4" t="s">
        <v>3</v>
      </c>
      <c r="B11" s="4" t="s">
        <v>41</v>
      </c>
      <c r="C11" s="4" t="s">
        <v>8</v>
      </c>
      <c r="D11" s="4" t="s">
        <v>28</v>
      </c>
      <c r="E11">
        <v>1545</v>
      </c>
      <c r="F11">
        <v>12</v>
      </c>
      <c r="G11">
        <v>18540</v>
      </c>
      <c r="H11">
        <v>18540</v>
      </c>
      <c r="I11">
        <v>13905</v>
      </c>
      <c r="J11" s="4" t="s">
        <v>25</v>
      </c>
      <c r="K11">
        <v>2019</v>
      </c>
    </row>
    <row r="12" spans="1:11" hidden="1" x14ac:dyDescent="0.3">
      <c r="A12" s="4" t="s">
        <v>18</v>
      </c>
      <c r="B12" s="4" t="s">
        <v>9</v>
      </c>
      <c r="C12" s="4" t="s">
        <v>8</v>
      </c>
      <c r="D12" s="4" t="s">
        <v>28</v>
      </c>
      <c r="E12">
        <v>2470</v>
      </c>
      <c r="F12">
        <v>15</v>
      </c>
      <c r="G12">
        <v>37050</v>
      </c>
      <c r="H12">
        <v>37050</v>
      </c>
      <c r="I12">
        <v>12350</v>
      </c>
      <c r="J12" s="4" t="s">
        <v>25</v>
      </c>
      <c r="K12">
        <v>2019</v>
      </c>
    </row>
    <row r="13" spans="1:11" x14ac:dyDescent="0.3">
      <c r="A13" s="4" t="s">
        <v>17</v>
      </c>
      <c r="B13" s="4" t="s">
        <v>40</v>
      </c>
      <c r="C13" s="4" t="s">
        <v>8</v>
      </c>
      <c r="D13" s="4" t="s">
        <v>28</v>
      </c>
      <c r="E13">
        <v>2665.5</v>
      </c>
      <c r="F13">
        <v>125</v>
      </c>
      <c r="G13">
        <v>333187.5</v>
      </c>
      <c r="H13">
        <v>333187.5</v>
      </c>
      <c r="I13">
        <v>13327.5</v>
      </c>
      <c r="J13" s="4" t="s">
        <v>19</v>
      </c>
      <c r="K13">
        <v>2019</v>
      </c>
    </row>
    <row r="14" spans="1:11" hidden="1" x14ac:dyDescent="0.3">
      <c r="A14" s="4" t="s">
        <v>12</v>
      </c>
      <c r="B14" s="4" t="s">
        <v>9</v>
      </c>
      <c r="C14" s="4" t="s">
        <v>8</v>
      </c>
      <c r="D14" s="4" t="s">
        <v>28</v>
      </c>
      <c r="E14">
        <v>958</v>
      </c>
      <c r="F14">
        <v>300</v>
      </c>
      <c r="G14">
        <v>287400</v>
      </c>
      <c r="H14">
        <v>287400</v>
      </c>
      <c r="I14">
        <v>47900</v>
      </c>
      <c r="J14" s="4" t="s">
        <v>22</v>
      </c>
      <c r="K14">
        <v>2019</v>
      </c>
    </row>
    <row r="15" spans="1:11" x14ac:dyDescent="0.3">
      <c r="A15" s="4" t="s">
        <v>6</v>
      </c>
      <c r="B15" s="4" t="s">
        <v>41</v>
      </c>
      <c r="C15" s="4" t="s">
        <v>8</v>
      </c>
      <c r="D15" s="4" t="s">
        <v>28</v>
      </c>
      <c r="E15">
        <v>2146</v>
      </c>
      <c r="F15">
        <v>7</v>
      </c>
      <c r="G15">
        <v>15022</v>
      </c>
      <c r="H15">
        <v>15022</v>
      </c>
      <c r="I15">
        <v>4292</v>
      </c>
      <c r="J15" s="4" t="s">
        <v>21</v>
      </c>
      <c r="K15">
        <v>2019</v>
      </c>
    </row>
    <row r="16" spans="1:11" x14ac:dyDescent="0.3">
      <c r="A16" s="4" t="s">
        <v>17</v>
      </c>
      <c r="B16" s="4" t="s">
        <v>40</v>
      </c>
      <c r="C16" s="4" t="s">
        <v>8</v>
      </c>
      <c r="D16" s="4" t="s">
        <v>28</v>
      </c>
      <c r="E16">
        <v>345</v>
      </c>
      <c r="F16">
        <v>125</v>
      </c>
      <c r="G16">
        <v>43125</v>
      </c>
      <c r="H16">
        <v>43125</v>
      </c>
      <c r="I16">
        <v>1725</v>
      </c>
      <c r="J16" s="4" t="s">
        <v>10</v>
      </c>
      <c r="K16">
        <v>2018</v>
      </c>
    </row>
    <row r="17" spans="1:11" hidden="1" x14ac:dyDescent="0.3">
      <c r="A17" s="4" t="s">
        <v>18</v>
      </c>
      <c r="B17" s="4" t="s">
        <v>42</v>
      </c>
      <c r="C17" s="4" t="s">
        <v>8</v>
      </c>
      <c r="D17" s="4" t="s">
        <v>28</v>
      </c>
      <c r="E17">
        <v>615</v>
      </c>
      <c r="F17">
        <v>15</v>
      </c>
      <c r="G17">
        <v>9225</v>
      </c>
      <c r="H17">
        <v>9225</v>
      </c>
      <c r="I17">
        <v>3075</v>
      </c>
      <c r="J17" s="4" t="s">
        <v>15</v>
      </c>
      <c r="K17">
        <v>2019</v>
      </c>
    </row>
    <row r="18" spans="1:11" hidden="1" x14ac:dyDescent="0.3">
      <c r="A18" s="4" t="s">
        <v>6</v>
      </c>
      <c r="B18" s="4" t="s">
        <v>40</v>
      </c>
      <c r="C18" s="4" t="s">
        <v>5</v>
      </c>
      <c r="D18" s="4" t="s">
        <v>28</v>
      </c>
      <c r="E18">
        <v>292</v>
      </c>
      <c r="F18">
        <v>20</v>
      </c>
      <c r="G18">
        <v>5840</v>
      </c>
      <c r="H18">
        <v>5840</v>
      </c>
      <c r="I18">
        <v>2920</v>
      </c>
      <c r="J18" s="4" t="s">
        <v>7</v>
      </c>
      <c r="K18">
        <v>2019</v>
      </c>
    </row>
    <row r="19" spans="1:11" hidden="1" x14ac:dyDescent="0.3">
      <c r="A19" s="4" t="s">
        <v>18</v>
      </c>
      <c r="B19" s="4" t="s">
        <v>9</v>
      </c>
      <c r="C19" s="4" t="s">
        <v>5</v>
      </c>
      <c r="D19" s="4" t="s">
        <v>28</v>
      </c>
      <c r="E19">
        <v>974</v>
      </c>
      <c r="F19">
        <v>15</v>
      </c>
      <c r="G19">
        <v>14610</v>
      </c>
      <c r="H19">
        <v>14610</v>
      </c>
      <c r="I19">
        <v>4870</v>
      </c>
      <c r="J19" s="4" t="s">
        <v>7</v>
      </c>
      <c r="K19">
        <v>2019</v>
      </c>
    </row>
    <row r="20" spans="1:11" hidden="1" x14ac:dyDescent="0.3">
      <c r="A20" s="4" t="s">
        <v>3</v>
      </c>
      <c r="B20" s="4" t="s">
        <v>40</v>
      </c>
      <c r="C20" s="4" t="s">
        <v>5</v>
      </c>
      <c r="D20" s="4" t="s">
        <v>28</v>
      </c>
      <c r="E20">
        <v>2518</v>
      </c>
      <c r="F20">
        <v>12</v>
      </c>
      <c r="G20">
        <v>30216</v>
      </c>
      <c r="H20">
        <v>30216</v>
      </c>
      <c r="I20">
        <v>22662</v>
      </c>
      <c r="J20" s="4" t="s">
        <v>25</v>
      </c>
      <c r="K20">
        <v>2019</v>
      </c>
    </row>
    <row r="21" spans="1:11" hidden="1" x14ac:dyDescent="0.3">
      <c r="A21" s="4" t="s">
        <v>6</v>
      </c>
      <c r="B21" s="4" t="s">
        <v>41</v>
      </c>
      <c r="C21" s="4" t="s">
        <v>5</v>
      </c>
      <c r="D21" s="4" t="s">
        <v>28</v>
      </c>
      <c r="E21">
        <v>1006</v>
      </c>
      <c r="F21">
        <v>350</v>
      </c>
      <c r="G21">
        <v>352100</v>
      </c>
      <c r="H21">
        <v>352100</v>
      </c>
      <c r="I21">
        <v>90540</v>
      </c>
      <c r="J21" s="4" t="s">
        <v>25</v>
      </c>
      <c r="K21">
        <v>2019</v>
      </c>
    </row>
    <row r="22" spans="1:11" hidden="1" x14ac:dyDescent="0.3">
      <c r="A22" s="4" t="s">
        <v>3</v>
      </c>
      <c r="B22" s="4" t="s">
        <v>41</v>
      </c>
      <c r="C22" s="4" t="s">
        <v>5</v>
      </c>
      <c r="D22" s="4" t="s">
        <v>28</v>
      </c>
      <c r="E22">
        <v>367</v>
      </c>
      <c r="F22">
        <v>12</v>
      </c>
      <c r="G22">
        <v>4404</v>
      </c>
      <c r="H22">
        <v>4404</v>
      </c>
      <c r="I22">
        <v>3303</v>
      </c>
      <c r="J22" s="4" t="s">
        <v>19</v>
      </c>
      <c r="K22">
        <v>2019</v>
      </c>
    </row>
    <row r="23" spans="1:11" hidden="1" x14ac:dyDescent="0.3">
      <c r="A23" s="4" t="s">
        <v>6</v>
      </c>
      <c r="B23" s="4" t="s">
        <v>9</v>
      </c>
      <c r="C23" s="4" t="s">
        <v>5</v>
      </c>
      <c r="D23" s="4" t="s">
        <v>28</v>
      </c>
      <c r="E23">
        <v>883</v>
      </c>
      <c r="F23">
        <v>7</v>
      </c>
      <c r="G23">
        <v>6181</v>
      </c>
      <c r="H23">
        <v>6181</v>
      </c>
      <c r="I23">
        <v>1766</v>
      </c>
      <c r="J23" s="4" t="s">
        <v>22</v>
      </c>
      <c r="K23">
        <v>2019</v>
      </c>
    </row>
    <row r="24" spans="1:11" hidden="1" x14ac:dyDescent="0.3">
      <c r="A24" s="4" t="s">
        <v>18</v>
      </c>
      <c r="B24" s="4" t="s">
        <v>14</v>
      </c>
      <c r="C24" s="4" t="s">
        <v>5</v>
      </c>
      <c r="D24" s="4" t="s">
        <v>28</v>
      </c>
      <c r="E24">
        <v>549</v>
      </c>
      <c r="F24">
        <v>15</v>
      </c>
      <c r="G24">
        <v>8235</v>
      </c>
      <c r="H24">
        <v>8235</v>
      </c>
      <c r="I24">
        <v>2745</v>
      </c>
      <c r="J24" s="4" t="s">
        <v>21</v>
      </c>
      <c r="K24">
        <v>2018</v>
      </c>
    </row>
    <row r="25" spans="1:11" hidden="1" x14ac:dyDescent="0.3">
      <c r="A25" s="4" t="s">
        <v>12</v>
      </c>
      <c r="B25" s="4" t="s">
        <v>9</v>
      </c>
      <c r="C25" s="4" t="s">
        <v>5</v>
      </c>
      <c r="D25" s="4" t="s">
        <v>28</v>
      </c>
      <c r="E25">
        <v>788</v>
      </c>
      <c r="F25">
        <v>300</v>
      </c>
      <c r="G25">
        <v>236400</v>
      </c>
      <c r="H25">
        <v>236400</v>
      </c>
      <c r="I25">
        <v>39400</v>
      </c>
      <c r="J25" s="4" t="s">
        <v>21</v>
      </c>
      <c r="K25">
        <v>2018</v>
      </c>
    </row>
    <row r="26" spans="1:11" hidden="1" x14ac:dyDescent="0.3">
      <c r="A26" s="4" t="s">
        <v>18</v>
      </c>
      <c r="B26" s="4" t="s">
        <v>9</v>
      </c>
      <c r="C26" s="4" t="s">
        <v>5</v>
      </c>
      <c r="D26" s="4" t="s">
        <v>28</v>
      </c>
      <c r="E26">
        <v>2472</v>
      </c>
      <c r="F26">
        <v>15</v>
      </c>
      <c r="G26">
        <v>37080</v>
      </c>
      <c r="H26">
        <v>37080</v>
      </c>
      <c r="I26">
        <v>12360</v>
      </c>
      <c r="J26" s="4" t="s">
        <v>21</v>
      </c>
      <c r="K26">
        <v>2019</v>
      </c>
    </row>
    <row r="27" spans="1:11" hidden="1" x14ac:dyDescent="0.3">
      <c r="A27" s="4" t="s">
        <v>6</v>
      </c>
      <c r="B27" s="4" t="s">
        <v>42</v>
      </c>
      <c r="C27" s="4" t="s">
        <v>5</v>
      </c>
      <c r="D27" s="4" t="s">
        <v>28</v>
      </c>
      <c r="E27">
        <v>1143</v>
      </c>
      <c r="F27">
        <v>7</v>
      </c>
      <c r="G27">
        <v>8001</v>
      </c>
      <c r="H27">
        <v>8001</v>
      </c>
      <c r="I27">
        <v>2286</v>
      </c>
      <c r="J27" s="4" t="s">
        <v>10</v>
      </c>
      <c r="K27">
        <v>2019</v>
      </c>
    </row>
    <row r="28" spans="1:11" hidden="1" x14ac:dyDescent="0.3">
      <c r="A28" s="4" t="s">
        <v>6</v>
      </c>
      <c r="B28" s="4" t="s">
        <v>40</v>
      </c>
      <c r="C28" s="4" t="s">
        <v>5</v>
      </c>
      <c r="D28" s="4" t="s">
        <v>28</v>
      </c>
      <c r="E28">
        <v>1725</v>
      </c>
      <c r="F28">
        <v>350</v>
      </c>
      <c r="G28">
        <v>603750</v>
      </c>
      <c r="H28">
        <v>603750</v>
      </c>
      <c r="I28">
        <v>155250</v>
      </c>
      <c r="J28" s="4" t="s">
        <v>16</v>
      </c>
      <c r="K28">
        <v>2018</v>
      </c>
    </row>
    <row r="29" spans="1:11" hidden="1" x14ac:dyDescent="0.3">
      <c r="A29" s="4" t="s">
        <v>3</v>
      </c>
      <c r="B29" s="4" t="s">
        <v>42</v>
      </c>
      <c r="C29" s="4" t="s">
        <v>5</v>
      </c>
      <c r="D29" s="4" t="s">
        <v>28</v>
      </c>
      <c r="E29">
        <v>912</v>
      </c>
      <c r="F29">
        <v>12</v>
      </c>
      <c r="G29">
        <v>10944</v>
      </c>
      <c r="H29">
        <v>10944</v>
      </c>
      <c r="I29">
        <v>8208</v>
      </c>
      <c r="J29" s="4" t="s">
        <v>16</v>
      </c>
      <c r="K29">
        <v>2018</v>
      </c>
    </row>
    <row r="30" spans="1:11" hidden="1" x14ac:dyDescent="0.3">
      <c r="A30" s="4" t="s">
        <v>18</v>
      </c>
      <c r="B30" s="4" t="s">
        <v>40</v>
      </c>
      <c r="C30" s="4" t="s">
        <v>5</v>
      </c>
      <c r="D30" s="4" t="s">
        <v>28</v>
      </c>
      <c r="E30">
        <v>2152</v>
      </c>
      <c r="F30">
        <v>15</v>
      </c>
      <c r="G30">
        <v>32280</v>
      </c>
      <c r="H30">
        <v>32280</v>
      </c>
      <c r="I30">
        <v>10760</v>
      </c>
      <c r="J30" s="4" t="s">
        <v>15</v>
      </c>
      <c r="K30">
        <v>2018</v>
      </c>
    </row>
    <row r="31" spans="1:11" hidden="1" x14ac:dyDescent="0.3">
      <c r="A31" s="4" t="s">
        <v>6</v>
      </c>
      <c r="B31" s="4" t="s">
        <v>40</v>
      </c>
      <c r="C31" s="4" t="s">
        <v>5</v>
      </c>
      <c r="D31" s="4" t="s">
        <v>28</v>
      </c>
      <c r="E31">
        <v>1817</v>
      </c>
      <c r="F31">
        <v>20</v>
      </c>
      <c r="G31">
        <v>36340</v>
      </c>
      <c r="H31">
        <v>36340</v>
      </c>
      <c r="I31">
        <v>18170</v>
      </c>
      <c r="J31" s="4" t="s">
        <v>15</v>
      </c>
      <c r="K31">
        <v>2019</v>
      </c>
    </row>
    <row r="32" spans="1:11" hidden="1" x14ac:dyDescent="0.3">
      <c r="A32" s="4" t="s">
        <v>6</v>
      </c>
      <c r="B32" s="4" t="s">
        <v>40</v>
      </c>
      <c r="C32" s="4" t="s">
        <v>5</v>
      </c>
      <c r="D32" s="4" t="s">
        <v>28</v>
      </c>
      <c r="E32">
        <v>1817</v>
      </c>
      <c r="F32">
        <v>20</v>
      </c>
      <c r="G32">
        <v>36340</v>
      </c>
      <c r="H32">
        <v>36340</v>
      </c>
      <c r="I32">
        <v>18170</v>
      </c>
      <c r="J32" s="4" t="s">
        <v>15</v>
      </c>
      <c r="K32">
        <v>2019</v>
      </c>
    </row>
    <row r="33" spans="1:11" hidden="1" x14ac:dyDescent="0.3">
      <c r="A33" s="4" t="s">
        <v>6</v>
      </c>
      <c r="B33" s="4" t="s">
        <v>41</v>
      </c>
      <c r="C33" s="4" t="s">
        <v>5</v>
      </c>
      <c r="D33" s="4" t="s">
        <v>28</v>
      </c>
      <c r="E33">
        <v>1513</v>
      </c>
      <c r="F33">
        <v>350</v>
      </c>
      <c r="G33">
        <v>529550</v>
      </c>
      <c r="H33">
        <v>529550</v>
      </c>
      <c r="I33">
        <v>136170</v>
      </c>
      <c r="J33" s="4" t="s">
        <v>15</v>
      </c>
      <c r="K33">
        <v>2019</v>
      </c>
    </row>
    <row r="34" spans="1:11" hidden="1" x14ac:dyDescent="0.3">
      <c r="A34" s="4" t="s">
        <v>6</v>
      </c>
      <c r="B34" s="4" t="s">
        <v>9</v>
      </c>
      <c r="C34" s="4" t="s">
        <v>20</v>
      </c>
      <c r="D34" s="4" t="s">
        <v>28</v>
      </c>
      <c r="E34">
        <v>1493</v>
      </c>
      <c r="F34">
        <v>7</v>
      </c>
      <c r="G34">
        <v>10451</v>
      </c>
      <c r="H34">
        <v>10451</v>
      </c>
      <c r="I34">
        <v>2986</v>
      </c>
      <c r="J34" s="4" t="s">
        <v>24</v>
      </c>
      <c r="K34">
        <v>2019</v>
      </c>
    </row>
    <row r="35" spans="1:11" hidden="1" x14ac:dyDescent="0.3">
      <c r="A35" s="4" t="s">
        <v>17</v>
      </c>
      <c r="B35" s="4" t="s">
        <v>14</v>
      </c>
      <c r="C35" s="4" t="s">
        <v>20</v>
      </c>
      <c r="D35" s="4" t="s">
        <v>28</v>
      </c>
      <c r="E35">
        <v>1804</v>
      </c>
      <c r="F35">
        <v>125</v>
      </c>
      <c r="G35">
        <v>225500</v>
      </c>
      <c r="H35">
        <v>225500</v>
      </c>
      <c r="I35">
        <v>9020</v>
      </c>
      <c r="J35" s="4" t="s">
        <v>7</v>
      </c>
      <c r="K35">
        <v>2019</v>
      </c>
    </row>
    <row r="36" spans="1:11" hidden="1" x14ac:dyDescent="0.3">
      <c r="A36" s="4" t="s">
        <v>17</v>
      </c>
      <c r="B36" s="4" t="s">
        <v>14</v>
      </c>
      <c r="C36" s="4" t="s">
        <v>20</v>
      </c>
      <c r="D36" s="4" t="s">
        <v>28</v>
      </c>
      <c r="E36">
        <v>1804</v>
      </c>
      <c r="F36">
        <v>125</v>
      </c>
      <c r="G36">
        <v>225500</v>
      </c>
      <c r="H36">
        <v>225500</v>
      </c>
      <c r="I36">
        <v>9020</v>
      </c>
      <c r="J36" s="4" t="s">
        <v>7</v>
      </c>
      <c r="K36">
        <v>2019</v>
      </c>
    </row>
    <row r="37" spans="1:11" hidden="1" x14ac:dyDescent="0.3">
      <c r="A37" s="4" t="s">
        <v>3</v>
      </c>
      <c r="B37" s="4" t="s">
        <v>41</v>
      </c>
      <c r="C37" s="4" t="s">
        <v>20</v>
      </c>
      <c r="D37" s="4" t="s">
        <v>28</v>
      </c>
      <c r="E37">
        <v>2161</v>
      </c>
      <c r="F37">
        <v>12</v>
      </c>
      <c r="G37">
        <v>25932</v>
      </c>
      <c r="H37">
        <v>25932</v>
      </c>
      <c r="I37">
        <v>19449</v>
      </c>
      <c r="J37" s="4" t="s">
        <v>13</v>
      </c>
      <c r="K37">
        <v>2019</v>
      </c>
    </row>
    <row r="38" spans="1:11" hidden="1" x14ac:dyDescent="0.3">
      <c r="A38" s="4" t="s">
        <v>6</v>
      </c>
      <c r="B38" s="4" t="s">
        <v>41</v>
      </c>
      <c r="C38" s="4" t="s">
        <v>20</v>
      </c>
      <c r="D38" s="4" t="s">
        <v>28</v>
      </c>
      <c r="E38">
        <v>1006</v>
      </c>
      <c r="F38">
        <v>350</v>
      </c>
      <c r="G38">
        <v>352100</v>
      </c>
      <c r="H38">
        <v>352100</v>
      </c>
      <c r="I38">
        <v>90540</v>
      </c>
      <c r="J38" s="4" t="s">
        <v>25</v>
      </c>
      <c r="K38">
        <v>2019</v>
      </c>
    </row>
    <row r="39" spans="1:11" hidden="1" x14ac:dyDescent="0.3">
      <c r="A39" s="4" t="s">
        <v>3</v>
      </c>
      <c r="B39" s="4" t="s">
        <v>41</v>
      </c>
      <c r="C39" s="4" t="s">
        <v>20</v>
      </c>
      <c r="D39" s="4" t="s">
        <v>28</v>
      </c>
      <c r="E39">
        <v>1545</v>
      </c>
      <c r="F39">
        <v>12</v>
      </c>
      <c r="G39">
        <v>18540</v>
      </c>
      <c r="H39">
        <v>18540</v>
      </c>
      <c r="I39">
        <v>13905</v>
      </c>
      <c r="J39" s="4" t="s">
        <v>25</v>
      </c>
      <c r="K39">
        <v>2019</v>
      </c>
    </row>
    <row r="40" spans="1:11" hidden="1" x14ac:dyDescent="0.3">
      <c r="A40" s="4" t="s">
        <v>17</v>
      </c>
      <c r="B40" s="4" t="s">
        <v>42</v>
      </c>
      <c r="C40" s="4" t="s">
        <v>20</v>
      </c>
      <c r="D40" s="4" t="s">
        <v>28</v>
      </c>
      <c r="E40">
        <v>2821</v>
      </c>
      <c r="F40">
        <v>125</v>
      </c>
      <c r="G40">
        <v>352625</v>
      </c>
      <c r="H40">
        <v>352625</v>
      </c>
      <c r="I40">
        <v>14105</v>
      </c>
      <c r="J40" s="4" t="s">
        <v>22</v>
      </c>
      <c r="K40">
        <v>2019</v>
      </c>
    </row>
    <row r="41" spans="1:11" hidden="1" x14ac:dyDescent="0.3">
      <c r="A41" s="4" t="s">
        <v>17</v>
      </c>
      <c r="B41" s="4" t="s">
        <v>40</v>
      </c>
      <c r="C41" s="4" t="s">
        <v>20</v>
      </c>
      <c r="D41" s="4" t="s">
        <v>28</v>
      </c>
      <c r="E41">
        <v>345</v>
      </c>
      <c r="F41">
        <v>125</v>
      </c>
      <c r="G41">
        <v>43125</v>
      </c>
      <c r="H41">
        <v>43125</v>
      </c>
      <c r="I41">
        <v>1725</v>
      </c>
      <c r="J41" s="4" t="s">
        <v>10</v>
      </c>
      <c r="K41">
        <v>2018</v>
      </c>
    </row>
    <row r="42" spans="1:11" hidden="1" x14ac:dyDescent="0.3">
      <c r="A42" s="4" t="s">
        <v>12</v>
      </c>
      <c r="B42" s="4" t="s">
        <v>40</v>
      </c>
      <c r="C42" s="4" t="s">
        <v>2</v>
      </c>
      <c r="D42" s="4" t="s">
        <v>28</v>
      </c>
      <c r="E42">
        <v>2001</v>
      </c>
      <c r="F42">
        <v>300</v>
      </c>
      <c r="G42">
        <v>600300</v>
      </c>
      <c r="H42">
        <v>600300</v>
      </c>
      <c r="I42">
        <v>100050</v>
      </c>
      <c r="J42" s="4" t="s">
        <v>7</v>
      </c>
      <c r="K42">
        <v>2019</v>
      </c>
    </row>
    <row r="43" spans="1:11" hidden="1" x14ac:dyDescent="0.3">
      <c r="A43" s="4" t="s">
        <v>12</v>
      </c>
      <c r="B43" s="4" t="s">
        <v>40</v>
      </c>
      <c r="C43" s="4" t="s">
        <v>2</v>
      </c>
      <c r="D43" s="4" t="s">
        <v>28</v>
      </c>
      <c r="E43">
        <v>2001</v>
      </c>
      <c r="F43">
        <v>300</v>
      </c>
      <c r="G43">
        <v>600300</v>
      </c>
      <c r="H43">
        <v>600300</v>
      </c>
      <c r="I43">
        <v>100050</v>
      </c>
      <c r="J43" s="4" t="s">
        <v>7</v>
      </c>
      <c r="K43">
        <v>2019</v>
      </c>
    </row>
    <row r="44" spans="1:11" hidden="1" x14ac:dyDescent="0.3">
      <c r="A44" s="4" t="s">
        <v>3</v>
      </c>
      <c r="B44" s="4" t="s">
        <v>41</v>
      </c>
      <c r="C44" s="4" t="s">
        <v>2</v>
      </c>
      <c r="D44" s="4" t="s">
        <v>28</v>
      </c>
      <c r="E44">
        <v>2838</v>
      </c>
      <c r="F44">
        <v>12</v>
      </c>
      <c r="G44">
        <v>34056</v>
      </c>
      <c r="H44">
        <v>34056</v>
      </c>
      <c r="I44">
        <v>25542</v>
      </c>
      <c r="J44" s="4" t="s">
        <v>4</v>
      </c>
      <c r="K44">
        <v>2019</v>
      </c>
    </row>
    <row r="45" spans="1:11" hidden="1" x14ac:dyDescent="0.3">
      <c r="A45" s="4" t="s">
        <v>18</v>
      </c>
      <c r="B45" s="4" t="s">
        <v>14</v>
      </c>
      <c r="C45" s="4" t="s">
        <v>2</v>
      </c>
      <c r="D45" s="4" t="s">
        <v>28</v>
      </c>
      <c r="E45">
        <v>2178</v>
      </c>
      <c r="F45">
        <v>15</v>
      </c>
      <c r="G45">
        <v>32670</v>
      </c>
      <c r="H45">
        <v>32670</v>
      </c>
      <c r="I45">
        <v>10890</v>
      </c>
      <c r="J45" s="4" t="s">
        <v>25</v>
      </c>
      <c r="K45">
        <v>2019</v>
      </c>
    </row>
    <row r="46" spans="1:11" hidden="1" x14ac:dyDescent="0.3">
      <c r="A46" s="4" t="s">
        <v>18</v>
      </c>
      <c r="B46" s="4" t="s">
        <v>41</v>
      </c>
      <c r="C46" s="4" t="s">
        <v>2</v>
      </c>
      <c r="D46" s="4" t="s">
        <v>28</v>
      </c>
      <c r="E46">
        <v>888</v>
      </c>
      <c r="F46">
        <v>15</v>
      </c>
      <c r="G46">
        <v>13320</v>
      </c>
      <c r="H46">
        <v>13320</v>
      </c>
      <c r="I46">
        <v>4440</v>
      </c>
      <c r="J46" s="4" t="s">
        <v>25</v>
      </c>
      <c r="K46">
        <v>2019</v>
      </c>
    </row>
    <row r="47" spans="1:11" hidden="1" x14ac:dyDescent="0.3">
      <c r="A47" s="4" t="s">
        <v>6</v>
      </c>
      <c r="B47" s="4" t="s">
        <v>14</v>
      </c>
      <c r="C47" s="4" t="s">
        <v>2</v>
      </c>
      <c r="D47" s="4" t="s">
        <v>28</v>
      </c>
      <c r="E47">
        <v>1527</v>
      </c>
      <c r="F47">
        <v>350</v>
      </c>
      <c r="G47">
        <v>534450</v>
      </c>
      <c r="H47">
        <v>534450</v>
      </c>
      <c r="I47">
        <v>137430</v>
      </c>
      <c r="J47" s="4" t="s">
        <v>21</v>
      </c>
      <c r="K47">
        <v>2018</v>
      </c>
    </row>
    <row r="48" spans="1:11" hidden="1" x14ac:dyDescent="0.3">
      <c r="A48" s="4" t="s">
        <v>12</v>
      </c>
      <c r="B48" s="4" t="s">
        <v>14</v>
      </c>
      <c r="C48" s="4" t="s">
        <v>2</v>
      </c>
      <c r="D48" s="4" t="s">
        <v>28</v>
      </c>
      <c r="E48">
        <v>2151</v>
      </c>
      <c r="F48">
        <v>300</v>
      </c>
      <c r="G48">
        <v>645300</v>
      </c>
      <c r="H48">
        <v>645300</v>
      </c>
      <c r="I48">
        <v>107550</v>
      </c>
      <c r="J48" s="4" t="s">
        <v>21</v>
      </c>
      <c r="K48">
        <v>2019</v>
      </c>
    </row>
    <row r="49" spans="1:11" hidden="1" x14ac:dyDescent="0.3">
      <c r="A49" s="4" t="s">
        <v>6</v>
      </c>
      <c r="B49" s="4" t="s">
        <v>40</v>
      </c>
      <c r="C49" s="4" t="s">
        <v>2</v>
      </c>
      <c r="D49" s="4" t="s">
        <v>28</v>
      </c>
      <c r="E49">
        <v>1817</v>
      </c>
      <c r="F49">
        <v>20</v>
      </c>
      <c r="G49">
        <v>36340</v>
      </c>
      <c r="H49">
        <v>36340</v>
      </c>
      <c r="I49">
        <v>18170</v>
      </c>
      <c r="J49" s="4" t="s">
        <v>15</v>
      </c>
      <c r="K49">
        <v>2019</v>
      </c>
    </row>
    <row r="50" spans="1:11" hidden="1" x14ac:dyDescent="0.3">
      <c r="A50" s="4" t="s">
        <v>6</v>
      </c>
      <c r="B50" s="4" t="s">
        <v>14</v>
      </c>
      <c r="C50" s="4" t="s">
        <v>11</v>
      </c>
      <c r="D50" s="4" t="s">
        <v>28</v>
      </c>
      <c r="E50">
        <v>2750</v>
      </c>
      <c r="F50">
        <v>350</v>
      </c>
      <c r="G50">
        <v>962500</v>
      </c>
      <c r="H50">
        <v>962500</v>
      </c>
      <c r="I50">
        <v>247500</v>
      </c>
      <c r="J50" s="4" t="s">
        <v>7</v>
      </c>
      <c r="K50">
        <v>2019</v>
      </c>
    </row>
    <row r="51" spans="1:11" hidden="1" x14ac:dyDescent="0.3">
      <c r="A51" s="4" t="s">
        <v>3</v>
      </c>
      <c r="B51" s="4" t="s">
        <v>42</v>
      </c>
      <c r="C51" s="4" t="s">
        <v>11</v>
      </c>
      <c r="D51" s="4" t="s">
        <v>28</v>
      </c>
      <c r="E51">
        <v>1953</v>
      </c>
      <c r="F51">
        <v>12</v>
      </c>
      <c r="G51">
        <v>23436</v>
      </c>
      <c r="H51">
        <v>23436</v>
      </c>
      <c r="I51">
        <v>17577</v>
      </c>
      <c r="J51" s="4" t="s">
        <v>4</v>
      </c>
      <c r="K51">
        <v>2019</v>
      </c>
    </row>
    <row r="52" spans="1:11" hidden="1" x14ac:dyDescent="0.3">
      <c r="A52" s="4" t="s">
        <v>17</v>
      </c>
      <c r="B52" s="4" t="s">
        <v>41</v>
      </c>
      <c r="C52" s="4" t="s">
        <v>11</v>
      </c>
      <c r="D52" s="4" t="s">
        <v>28</v>
      </c>
      <c r="E52">
        <v>4219.5</v>
      </c>
      <c r="F52">
        <v>125</v>
      </c>
      <c r="G52">
        <v>527437.5</v>
      </c>
      <c r="H52">
        <v>527437.5</v>
      </c>
      <c r="I52">
        <v>21097.5</v>
      </c>
      <c r="J52" s="4" t="s">
        <v>4</v>
      </c>
      <c r="K52">
        <v>2019</v>
      </c>
    </row>
    <row r="53" spans="1:11" hidden="1" x14ac:dyDescent="0.3">
      <c r="A53" s="4" t="s">
        <v>6</v>
      </c>
      <c r="B53" s="4" t="s">
        <v>14</v>
      </c>
      <c r="C53" s="4" t="s">
        <v>11</v>
      </c>
      <c r="D53" s="4" t="s">
        <v>28</v>
      </c>
      <c r="E53">
        <v>1899</v>
      </c>
      <c r="F53">
        <v>20</v>
      </c>
      <c r="G53">
        <v>37980</v>
      </c>
      <c r="H53">
        <v>37980</v>
      </c>
      <c r="I53">
        <v>18990</v>
      </c>
      <c r="J53" s="4" t="s">
        <v>25</v>
      </c>
      <c r="K53">
        <v>2019</v>
      </c>
    </row>
    <row r="54" spans="1:11" hidden="1" x14ac:dyDescent="0.3">
      <c r="A54" s="4" t="s">
        <v>6</v>
      </c>
      <c r="B54" s="4" t="s">
        <v>41</v>
      </c>
      <c r="C54" s="4" t="s">
        <v>11</v>
      </c>
      <c r="D54" s="4" t="s">
        <v>28</v>
      </c>
      <c r="E54">
        <v>1686</v>
      </c>
      <c r="F54">
        <v>7</v>
      </c>
      <c r="G54">
        <v>11802</v>
      </c>
      <c r="H54">
        <v>11802</v>
      </c>
      <c r="I54">
        <v>3372</v>
      </c>
      <c r="J54" s="4" t="s">
        <v>19</v>
      </c>
      <c r="K54">
        <v>2019</v>
      </c>
    </row>
    <row r="55" spans="1:11" hidden="1" x14ac:dyDescent="0.3">
      <c r="A55" s="4" t="s">
        <v>3</v>
      </c>
      <c r="B55" s="4" t="s">
        <v>42</v>
      </c>
      <c r="C55" s="4" t="s">
        <v>11</v>
      </c>
      <c r="D55" s="4" t="s">
        <v>28</v>
      </c>
      <c r="E55">
        <v>2141</v>
      </c>
      <c r="F55">
        <v>12</v>
      </c>
      <c r="G55">
        <v>25692</v>
      </c>
      <c r="H55">
        <v>25692</v>
      </c>
      <c r="I55">
        <v>19269</v>
      </c>
      <c r="J55" s="4" t="s">
        <v>22</v>
      </c>
      <c r="K55">
        <v>2019</v>
      </c>
    </row>
    <row r="56" spans="1:11" hidden="1" x14ac:dyDescent="0.3">
      <c r="A56" s="4" t="s">
        <v>6</v>
      </c>
      <c r="B56" s="4" t="s">
        <v>42</v>
      </c>
      <c r="C56" s="4" t="s">
        <v>11</v>
      </c>
      <c r="D56" s="4" t="s">
        <v>28</v>
      </c>
      <c r="E56">
        <v>1143</v>
      </c>
      <c r="F56">
        <v>7</v>
      </c>
      <c r="G56">
        <v>8001</v>
      </c>
      <c r="H56">
        <v>8001</v>
      </c>
      <c r="I56">
        <v>2286</v>
      </c>
      <c r="J56" s="4" t="s">
        <v>10</v>
      </c>
      <c r="K56">
        <v>2019</v>
      </c>
    </row>
    <row r="57" spans="1:11" hidden="1" x14ac:dyDescent="0.3">
      <c r="A57" s="4" t="s">
        <v>18</v>
      </c>
      <c r="B57" s="4" t="s">
        <v>42</v>
      </c>
      <c r="C57" s="4" t="s">
        <v>11</v>
      </c>
      <c r="D57" s="4" t="s">
        <v>28</v>
      </c>
      <c r="E57">
        <v>615</v>
      </c>
      <c r="F57">
        <v>15</v>
      </c>
      <c r="G57">
        <v>9225</v>
      </c>
      <c r="H57">
        <v>9225</v>
      </c>
      <c r="I57">
        <v>3075</v>
      </c>
      <c r="J57" s="4" t="s">
        <v>15</v>
      </c>
      <c r="K57">
        <v>2019</v>
      </c>
    </row>
    <row r="58" spans="1:11" hidden="1" x14ac:dyDescent="0.3">
      <c r="A58" s="4" t="s">
        <v>6</v>
      </c>
      <c r="B58" s="4" t="s">
        <v>14</v>
      </c>
      <c r="C58" s="4" t="s">
        <v>5</v>
      </c>
      <c r="D58" s="4" t="s">
        <v>27</v>
      </c>
      <c r="E58">
        <v>3945</v>
      </c>
      <c r="F58">
        <v>7</v>
      </c>
      <c r="G58">
        <v>27615</v>
      </c>
      <c r="H58">
        <v>27338.85</v>
      </c>
      <c r="I58">
        <v>7613.85</v>
      </c>
      <c r="J58" s="4" t="s">
        <v>24</v>
      </c>
      <c r="K58">
        <v>2019</v>
      </c>
    </row>
    <row r="59" spans="1:11" hidden="1" x14ac:dyDescent="0.3">
      <c r="A59" s="4" t="s">
        <v>18</v>
      </c>
      <c r="B59" s="4" t="s">
        <v>14</v>
      </c>
      <c r="C59" s="4" t="s">
        <v>5</v>
      </c>
      <c r="D59" s="4" t="s">
        <v>27</v>
      </c>
      <c r="E59">
        <v>2296</v>
      </c>
      <c r="F59">
        <v>15</v>
      </c>
      <c r="G59">
        <v>34440</v>
      </c>
      <c r="H59">
        <v>34095.599999999999</v>
      </c>
      <c r="I59">
        <v>11135.6</v>
      </c>
      <c r="J59" s="4" t="s">
        <v>7</v>
      </c>
      <c r="K59">
        <v>2019</v>
      </c>
    </row>
    <row r="60" spans="1:11" hidden="1" x14ac:dyDescent="0.3">
      <c r="A60" s="4" t="s">
        <v>6</v>
      </c>
      <c r="B60" s="4" t="s">
        <v>14</v>
      </c>
      <c r="C60" s="4" t="s">
        <v>5</v>
      </c>
      <c r="D60" s="4" t="s">
        <v>27</v>
      </c>
      <c r="E60">
        <v>1030</v>
      </c>
      <c r="F60">
        <v>7</v>
      </c>
      <c r="G60">
        <v>7210</v>
      </c>
      <c r="H60">
        <v>7137.9</v>
      </c>
      <c r="I60">
        <v>1987.9</v>
      </c>
      <c r="J60" s="4" t="s">
        <v>0</v>
      </c>
      <c r="K60">
        <v>2019</v>
      </c>
    </row>
    <row r="61" spans="1:11" hidden="1" x14ac:dyDescent="0.3">
      <c r="A61" s="4" t="s">
        <v>6</v>
      </c>
      <c r="B61" s="4" t="s">
        <v>14</v>
      </c>
      <c r="C61" s="4" t="s">
        <v>20</v>
      </c>
      <c r="D61" s="4" t="s">
        <v>27</v>
      </c>
      <c r="E61">
        <v>639</v>
      </c>
      <c r="F61">
        <v>7</v>
      </c>
      <c r="G61">
        <v>4473</v>
      </c>
      <c r="H61">
        <v>4428.2700000000004</v>
      </c>
      <c r="I61">
        <v>1233.27</v>
      </c>
      <c r="J61" s="4" t="s">
        <v>16</v>
      </c>
      <c r="K61">
        <v>2019</v>
      </c>
    </row>
    <row r="62" spans="1:11" hidden="1" x14ac:dyDescent="0.3">
      <c r="A62" s="4" t="s">
        <v>6</v>
      </c>
      <c r="B62" s="4" t="s">
        <v>40</v>
      </c>
      <c r="C62" s="4" t="s">
        <v>2</v>
      </c>
      <c r="D62" s="4" t="s">
        <v>27</v>
      </c>
      <c r="E62">
        <v>1326</v>
      </c>
      <c r="F62">
        <v>7</v>
      </c>
      <c r="G62">
        <v>9282</v>
      </c>
      <c r="H62">
        <v>9189.18</v>
      </c>
      <c r="I62">
        <v>2559.1799999999998</v>
      </c>
      <c r="J62" s="4" t="s">
        <v>13</v>
      </c>
      <c r="K62">
        <v>2019</v>
      </c>
    </row>
    <row r="63" spans="1:11" hidden="1" x14ac:dyDescent="0.3">
      <c r="A63" s="4" t="s">
        <v>3</v>
      </c>
      <c r="B63" s="4" t="s">
        <v>42</v>
      </c>
      <c r="C63" s="4" t="s">
        <v>23</v>
      </c>
      <c r="D63" s="4" t="s">
        <v>27</v>
      </c>
      <c r="E63">
        <v>1858</v>
      </c>
      <c r="F63">
        <v>12</v>
      </c>
      <c r="G63">
        <v>22296</v>
      </c>
      <c r="H63">
        <v>22073.040000000001</v>
      </c>
      <c r="I63">
        <v>16499.04</v>
      </c>
      <c r="J63" s="4" t="s">
        <v>7</v>
      </c>
      <c r="K63">
        <v>2019</v>
      </c>
    </row>
    <row r="64" spans="1:11" hidden="1" x14ac:dyDescent="0.3">
      <c r="A64" s="4" t="s">
        <v>6</v>
      </c>
      <c r="B64" s="4" t="s">
        <v>9</v>
      </c>
      <c r="C64" s="4" t="s">
        <v>23</v>
      </c>
      <c r="D64" s="4" t="s">
        <v>27</v>
      </c>
      <c r="E64">
        <v>1210</v>
      </c>
      <c r="F64">
        <v>350</v>
      </c>
      <c r="G64">
        <v>423500</v>
      </c>
      <c r="H64">
        <v>419265</v>
      </c>
      <c r="I64">
        <v>104665</v>
      </c>
      <c r="J64" s="4" t="s">
        <v>13</v>
      </c>
      <c r="K64">
        <v>2019</v>
      </c>
    </row>
    <row r="65" spans="1:11" hidden="1" x14ac:dyDescent="0.3">
      <c r="A65" s="4" t="s">
        <v>6</v>
      </c>
      <c r="B65" s="4" t="s">
        <v>42</v>
      </c>
      <c r="C65" s="4" t="s">
        <v>23</v>
      </c>
      <c r="D65" s="4" t="s">
        <v>27</v>
      </c>
      <c r="E65">
        <v>2529</v>
      </c>
      <c r="F65">
        <v>7</v>
      </c>
      <c r="G65">
        <v>17703</v>
      </c>
      <c r="H65">
        <v>17525.97</v>
      </c>
      <c r="I65">
        <v>4880.97</v>
      </c>
      <c r="J65" s="4" t="s">
        <v>19</v>
      </c>
      <c r="K65">
        <v>2019</v>
      </c>
    </row>
    <row r="66" spans="1:11" x14ac:dyDescent="0.3">
      <c r="A66" s="4" t="s">
        <v>3</v>
      </c>
      <c r="B66" s="4" t="s">
        <v>40</v>
      </c>
      <c r="C66" s="4" t="s">
        <v>23</v>
      </c>
      <c r="D66" s="4" t="s">
        <v>27</v>
      </c>
      <c r="E66">
        <v>1445</v>
      </c>
      <c r="F66">
        <v>12</v>
      </c>
      <c r="G66">
        <v>17340</v>
      </c>
      <c r="H66">
        <v>17166.599999999999</v>
      </c>
      <c r="I66">
        <v>12831.6</v>
      </c>
      <c r="J66" s="4" t="s">
        <v>21</v>
      </c>
      <c r="K66">
        <v>2019</v>
      </c>
    </row>
    <row r="67" spans="1:11" hidden="1" x14ac:dyDescent="0.3">
      <c r="A67" s="4" t="s">
        <v>17</v>
      </c>
      <c r="B67" s="4" t="s">
        <v>42</v>
      </c>
      <c r="C67" s="4" t="s">
        <v>23</v>
      </c>
      <c r="D67" s="4" t="s">
        <v>27</v>
      </c>
      <c r="E67">
        <v>330</v>
      </c>
      <c r="F67">
        <v>125</v>
      </c>
      <c r="G67">
        <v>41250</v>
      </c>
      <c r="H67">
        <v>40837.5</v>
      </c>
      <c r="I67">
        <v>1237.5</v>
      </c>
      <c r="J67" s="4" t="s">
        <v>21</v>
      </c>
      <c r="K67">
        <v>2018</v>
      </c>
    </row>
    <row r="68" spans="1:11" x14ac:dyDescent="0.3">
      <c r="A68" s="4" t="s">
        <v>3</v>
      </c>
      <c r="B68" s="4" t="s">
        <v>14</v>
      </c>
      <c r="C68" s="4" t="s">
        <v>23</v>
      </c>
      <c r="D68" s="4" t="s">
        <v>27</v>
      </c>
      <c r="E68">
        <v>2671</v>
      </c>
      <c r="F68">
        <v>12</v>
      </c>
      <c r="G68">
        <v>32052</v>
      </c>
      <c r="H68">
        <v>31731.48</v>
      </c>
      <c r="I68">
        <v>23718.48</v>
      </c>
      <c r="J68" s="4" t="s">
        <v>21</v>
      </c>
      <c r="K68">
        <v>2019</v>
      </c>
    </row>
    <row r="69" spans="1:11" x14ac:dyDescent="0.3">
      <c r="A69" s="4" t="s">
        <v>3</v>
      </c>
      <c r="B69" s="4" t="s">
        <v>41</v>
      </c>
      <c r="C69" s="4" t="s">
        <v>23</v>
      </c>
      <c r="D69" s="4" t="s">
        <v>27</v>
      </c>
      <c r="E69">
        <v>766</v>
      </c>
      <c r="F69">
        <v>12</v>
      </c>
      <c r="G69">
        <v>9192</v>
      </c>
      <c r="H69">
        <v>9100.08</v>
      </c>
      <c r="I69">
        <v>6802.08</v>
      </c>
      <c r="J69" s="4" t="s">
        <v>10</v>
      </c>
      <c r="K69">
        <v>2018</v>
      </c>
    </row>
    <row r="70" spans="1:11" hidden="1" x14ac:dyDescent="0.3">
      <c r="A70" s="4" t="s">
        <v>12</v>
      </c>
      <c r="B70" s="4" t="s">
        <v>9</v>
      </c>
      <c r="C70" s="4" t="s">
        <v>23</v>
      </c>
      <c r="D70" s="4" t="s">
        <v>27</v>
      </c>
      <c r="E70">
        <v>494</v>
      </c>
      <c r="F70">
        <v>300</v>
      </c>
      <c r="G70">
        <v>148200</v>
      </c>
      <c r="H70">
        <v>146718</v>
      </c>
      <c r="I70">
        <v>23218</v>
      </c>
      <c r="J70" s="4" t="s">
        <v>10</v>
      </c>
      <c r="K70">
        <v>2018</v>
      </c>
    </row>
    <row r="71" spans="1:11" hidden="1" x14ac:dyDescent="0.3">
      <c r="A71" s="4" t="s">
        <v>12</v>
      </c>
      <c r="B71" s="4" t="s">
        <v>9</v>
      </c>
      <c r="C71" s="4" t="s">
        <v>23</v>
      </c>
      <c r="D71" s="4" t="s">
        <v>27</v>
      </c>
      <c r="E71">
        <v>494</v>
      </c>
      <c r="F71">
        <v>300</v>
      </c>
      <c r="G71">
        <v>148200</v>
      </c>
      <c r="H71">
        <v>146718</v>
      </c>
      <c r="I71">
        <v>23218</v>
      </c>
      <c r="J71" s="4" t="s">
        <v>10</v>
      </c>
      <c r="K71">
        <v>2018</v>
      </c>
    </row>
    <row r="72" spans="1:11" hidden="1" x14ac:dyDescent="0.3">
      <c r="A72" s="4" t="s">
        <v>6</v>
      </c>
      <c r="B72" s="4" t="s">
        <v>9</v>
      </c>
      <c r="C72" s="4" t="s">
        <v>23</v>
      </c>
      <c r="D72" s="4" t="s">
        <v>27</v>
      </c>
      <c r="E72">
        <v>1397</v>
      </c>
      <c r="F72">
        <v>350</v>
      </c>
      <c r="G72">
        <v>488950</v>
      </c>
      <c r="H72">
        <v>484060.5</v>
      </c>
      <c r="I72">
        <v>120840.5</v>
      </c>
      <c r="J72" s="4" t="s">
        <v>10</v>
      </c>
      <c r="K72">
        <v>2019</v>
      </c>
    </row>
    <row r="73" spans="1:11" x14ac:dyDescent="0.3">
      <c r="A73" s="4" t="s">
        <v>6</v>
      </c>
      <c r="B73" s="4" t="s">
        <v>14</v>
      </c>
      <c r="C73" s="4" t="s">
        <v>23</v>
      </c>
      <c r="D73" s="4" t="s">
        <v>27</v>
      </c>
      <c r="E73">
        <v>2155</v>
      </c>
      <c r="F73">
        <v>350</v>
      </c>
      <c r="G73">
        <v>754250</v>
      </c>
      <c r="H73">
        <v>746707.5</v>
      </c>
      <c r="I73">
        <v>186407.5</v>
      </c>
      <c r="J73" s="4" t="s">
        <v>15</v>
      </c>
      <c r="K73">
        <v>2019</v>
      </c>
    </row>
    <row r="74" spans="1:11" hidden="1" x14ac:dyDescent="0.3">
      <c r="A74" s="4" t="s">
        <v>18</v>
      </c>
      <c r="B74" s="4" t="s">
        <v>9</v>
      </c>
      <c r="C74" s="4" t="s">
        <v>8</v>
      </c>
      <c r="D74" s="4" t="s">
        <v>27</v>
      </c>
      <c r="E74">
        <v>2214</v>
      </c>
      <c r="F74">
        <v>15</v>
      </c>
      <c r="G74">
        <v>33210</v>
      </c>
      <c r="H74">
        <v>32877.9</v>
      </c>
      <c r="I74">
        <v>10737.9</v>
      </c>
      <c r="J74" s="4" t="s">
        <v>13</v>
      </c>
      <c r="K74">
        <v>2019</v>
      </c>
    </row>
    <row r="75" spans="1:11" hidden="1" x14ac:dyDescent="0.3">
      <c r="A75" s="4" t="s">
        <v>12</v>
      </c>
      <c r="B75" s="4" t="s">
        <v>42</v>
      </c>
      <c r="C75" s="4" t="s">
        <v>8</v>
      </c>
      <c r="D75" s="4" t="s">
        <v>27</v>
      </c>
      <c r="E75">
        <v>2301</v>
      </c>
      <c r="F75">
        <v>300</v>
      </c>
      <c r="G75">
        <v>690300</v>
      </c>
      <c r="H75">
        <v>683397</v>
      </c>
      <c r="I75">
        <v>108147</v>
      </c>
      <c r="J75" s="4" t="s">
        <v>4</v>
      </c>
      <c r="K75">
        <v>2019</v>
      </c>
    </row>
    <row r="76" spans="1:11" x14ac:dyDescent="0.3">
      <c r="A76" s="4" t="s">
        <v>6</v>
      </c>
      <c r="B76" s="4" t="s">
        <v>14</v>
      </c>
      <c r="C76" s="4" t="s">
        <v>8</v>
      </c>
      <c r="D76" s="4" t="s">
        <v>27</v>
      </c>
      <c r="E76">
        <v>1375.5</v>
      </c>
      <c r="F76">
        <v>20</v>
      </c>
      <c r="G76">
        <v>27510</v>
      </c>
      <c r="H76">
        <v>27234.9</v>
      </c>
      <c r="I76">
        <v>13479.9</v>
      </c>
      <c r="J76" s="4" t="s">
        <v>19</v>
      </c>
      <c r="K76">
        <v>2019</v>
      </c>
    </row>
    <row r="77" spans="1:11" x14ac:dyDescent="0.3">
      <c r="A77" s="4" t="s">
        <v>6</v>
      </c>
      <c r="B77" s="4" t="s">
        <v>14</v>
      </c>
      <c r="C77" s="4" t="s">
        <v>8</v>
      </c>
      <c r="D77" s="4" t="s">
        <v>27</v>
      </c>
      <c r="E77">
        <v>1375.5</v>
      </c>
      <c r="F77">
        <v>20</v>
      </c>
      <c r="G77">
        <v>27510</v>
      </c>
      <c r="H77">
        <v>27234.9</v>
      </c>
      <c r="I77">
        <v>13479.9</v>
      </c>
      <c r="J77" s="4" t="s">
        <v>19</v>
      </c>
      <c r="K77">
        <v>2019</v>
      </c>
    </row>
    <row r="78" spans="1:11" x14ac:dyDescent="0.3">
      <c r="A78" s="4" t="s">
        <v>6</v>
      </c>
      <c r="B78" s="4" t="s">
        <v>40</v>
      </c>
      <c r="C78" s="4" t="s">
        <v>8</v>
      </c>
      <c r="D78" s="4" t="s">
        <v>27</v>
      </c>
      <c r="E78">
        <v>1830</v>
      </c>
      <c r="F78">
        <v>7</v>
      </c>
      <c r="G78">
        <v>12810</v>
      </c>
      <c r="H78">
        <v>12681.9</v>
      </c>
      <c r="I78">
        <v>3531.9</v>
      </c>
      <c r="J78" s="4" t="s">
        <v>22</v>
      </c>
      <c r="K78">
        <v>2019</v>
      </c>
    </row>
    <row r="79" spans="1:11" hidden="1" x14ac:dyDescent="0.3">
      <c r="A79" s="4" t="s">
        <v>12</v>
      </c>
      <c r="B79" s="4" t="s">
        <v>42</v>
      </c>
      <c r="C79" s="4" t="s">
        <v>8</v>
      </c>
      <c r="D79" s="4" t="s">
        <v>27</v>
      </c>
      <c r="E79">
        <v>2498</v>
      </c>
      <c r="F79">
        <v>300</v>
      </c>
      <c r="G79">
        <v>749400</v>
      </c>
      <c r="H79">
        <v>741906</v>
      </c>
      <c r="I79">
        <v>117406</v>
      </c>
      <c r="J79" s="4" t="s">
        <v>21</v>
      </c>
      <c r="K79">
        <v>2018</v>
      </c>
    </row>
    <row r="80" spans="1:11" hidden="1" x14ac:dyDescent="0.3">
      <c r="A80" s="4" t="s">
        <v>17</v>
      </c>
      <c r="B80" s="4" t="s">
        <v>42</v>
      </c>
      <c r="C80" s="4" t="s">
        <v>8</v>
      </c>
      <c r="D80" s="4" t="s">
        <v>27</v>
      </c>
      <c r="E80">
        <v>663</v>
      </c>
      <c r="F80">
        <v>125</v>
      </c>
      <c r="G80">
        <v>82875</v>
      </c>
      <c r="H80">
        <v>82046.25</v>
      </c>
      <c r="I80">
        <v>2486.25</v>
      </c>
      <c r="J80" s="4" t="s">
        <v>10</v>
      </c>
      <c r="K80">
        <v>2018</v>
      </c>
    </row>
    <row r="81" spans="1:11" hidden="1" x14ac:dyDescent="0.3">
      <c r="A81" s="4" t="s">
        <v>18</v>
      </c>
      <c r="B81" s="4" t="s">
        <v>42</v>
      </c>
      <c r="C81" s="4" t="s">
        <v>5</v>
      </c>
      <c r="D81" s="4" t="s">
        <v>27</v>
      </c>
      <c r="E81">
        <v>1514</v>
      </c>
      <c r="F81">
        <v>15</v>
      </c>
      <c r="G81">
        <v>22710</v>
      </c>
      <c r="H81">
        <v>22482.9</v>
      </c>
      <c r="I81">
        <v>7342.9</v>
      </c>
      <c r="J81" s="4" t="s">
        <v>7</v>
      </c>
      <c r="K81">
        <v>2019</v>
      </c>
    </row>
    <row r="82" spans="1:11" hidden="1" x14ac:dyDescent="0.3">
      <c r="A82" s="4" t="s">
        <v>6</v>
      </c>
      <c r="B82" s="4" t="s">
        <v>42</v>
      </c>
      <c r="C82" s="4" t="s">
        <v>5</v>
      </c>
      <c r="D82" s="4" t="s">
        <v>27</v>
      </c>
      <c r="E82">
        <v>4492.5</v>
      </c>
      <c r="F82">
        <v>7</v>
      </c>
      <c r="G82">
        <v>31447.5</v>
      </c>
      <c r="H82">
        <v>31133.025000000001</v>
      </c>
      <c r="I82">
        <v>8670.5249999999996</v>
      </c>
      <c r="J82" s="4" t="s">
        <v>4</v>
      </c>
      <c r="K82">
        <v>2019</v>
      </c>
    </row>
    <row r="83" spans="1:11" hidden="1" x14ac:dyDescent="0.3">
      <c r="A83" s="4" t="s">
        <v>17</v>
      </c>
      <c r="B83" s="4" t="s">
        <v>42</v>
      </c>
      <c r="C83" s="4" t="s">
        <v>5</v>
      </c>
      <c r="D83" s="4" t="s">
        <v>27</v>
      </c>
      <c r="E83">
        <v>727</v>
      </c>
      <c r="F83">
        <v>125</v>
      </c>
      <c r="G83">
        <v>90875</v>
      </c>
      <c r="H83">
        <v>89966.25</v>
      </c>
      <c r="I83">
        <v>2726.25</v>
      </c>
      <c r="J83" s="4" t="s">
        <v>25</v>
      </c>
      <c r="K83">
        <v>2019</v>
      </c>
    </row>
    <row r="84" spans="1:11" hidden="1" x14ac:dyDescent="0.3">
      <c r="A84" s="4" t="s">
        <v>17</v>
      </c>
      <c r="B84" s="4" t="s">
        <v>14</v>
      </c>
      <c r="C84" s="4" t="s">
        <v>5</v>
      </c>
      <c r="D84" s="4" t="s">
        <v>27</v>
      </c>
      <c r="E84">
        <v>787</v>
      </c>
      <c r="F84">
        <v>125</v>
      </c>
      <c r="G84">
        <v>98375</v>
      </c>
      <c r="H84">
        <v>97391.25</v>
      </c>
      <c r="I84">
        <v>2951.25</v>
      </c>
      <c r="J84" s="4" t="s">
        <v>25</v>
      </c>
      <c r="K84">
        <v>2019</v>
      </c>
    </row>
    <row r="85" spans="1:11" hidden="1" x14ac:dyDescent="0.3">
      <c r="A85" s="4" t="s">
        <v>17</v>
      </c>
      <c r="B85" s="4" t="s">
        <v>9</v>
      </c>
      <c r="C85" s="4" t="s">
        <v>5</v>
      </c>
      <c r="D85" s="4" t="s">
        <v>27</v>
      </c>
      <c r="E85">
        <v>1823</v>
      </c>
      <c r="F85">
        <v>125</v>
      </c>
      <c r="G85">
        <v>227875</v>
      </c>
      <c r="H85">
        <v>225596.25</v>
      </c>
      <c r="I85">
        <v>6836.25</v>
      </c>
      <c r="J85" s="4" t="s">
        <v>19</v>
      </c>
      <c r="K85">
        <v>2019</v>
      </c>
    </row>
    <row r="86" spans="1:11" hidden="1" x14ac:dyDescent="0.3">
      <c r="A86" s="4" t="s">
        <v>18</v>
      </c>
      <c r="B86" s="4" t="s">
        <v>41</v>
      </c>
      <c r="C86" s="4" t="s">
        <v>5</v>
      </c>
      <c r="D86" s="4" t="s">
        <v>27</v>
      </c>
      <c r="E86">
        <v>747</v>
      </c>
      <c r="F86">
        <v>15</v>
      </c>
      <c r="G86">
        <v>11205</v>
      </c>
      <c r="H86">
        <v>11092.95</v>
      </c>
      <c r="I86">
        <v>3622.95</v>
      </c>
      <c r="J86" s="4" t="s">
        <v>21</v>
      </c>
      <c r="K86">
        <v>2019</v>
      </c>
    </row>
    <row r="87" spans="1:11" hidden="1" x14ac:dyDescent="0.3">
      <c r="A87" s="4" t="s">
        <v>3</v>
      </c>
      <c r="B87" s="4" t="s">
        <v>41</v>
      </c>
      <c r="C87" s="4" t="s">
        <v>5</v>
      </c>
      <c r="D87" s="4" t="s">
        <v>27</v>
      </c>
      <c r="E87">
        <v>766</v>
      </c>
      <c r="F87">
        <v>12</v>
      </c>
      <c r="G87">
        <v>9192</v>
      </c>
      <c r="H87">
        <v>9100.08</v>
      </c>
      <c r="I87">
        <v>6802.08</v>
      </c>
      <c r="J87" s="4" t="s">
        <v>10</v>
      </c>
      <c r="K87">
        <v>2018</v>
      </c>
    </row>
    <row r="88" spans="1:11" hidden="1" x14ac:dyDescent="0.3">
      <c r="A88" s="4" t="s">
        <v>12</v>
      </c>
      <c r="B88" s="4" t="s">
        <v>42</v>
      </c>
      <c r="C88" s="4" t="s">
        <v>5</v>
      </c>
      <c r="D88" s="4" t="s">
        <v>27</v>
      </c>
      <c r="E88">
        <v>2905</v>
      </c>
      <c r="F88">
        <v>300</v>
      </c>
      <c r="G88">
        <v>871500</v>
      </c>
      <c r="H88">
        <v>862785</v>
      </c>
      <c r="I88">
        <v>136535</v>
      </c>
      <c r="J88" s="4" t="s">
        <v>16</v>
      </c>
      <c r="K88">
        <v>2019</v>
      </c>
    </row>
    <row r="89" spans="1:11" hidden="1" x14ac:dyDescent="0.3">
      <c r="A89" s="4" t="s">
        <v>6</v>
      </c>
      <c r="B89" s="4" t="s">
        <v>14</v>
      </c>
      <c r="C89" s="4" t="s">
        <v>5</v>
      </c>
      <c r="D89" s="4" t="s">
        <v>27</v>
      </c>
      <c r="E89">
        <v>2155</v>
      </c>
      <c r="F89">
        <v>350</v>
      </c>
      <c r="G89">
        <v>754250</v>
      </c>
      <c r="H89">
        <v>746707.5</v>
      </c>
      <c r="I89">
        <v>186407.5</v>
      </c>
      <c r="J89" s="4" t="s">
        <v>15</v>
      </c>
      <c r="K89">
        <v>2019</v>
      </c>
    </row>
    <row r="90" spans="1:11" hidden="1" x14ac:dyDescent="0.3">
      <c r="A90" s="4" t="s">
        <v>6</v>
      </c>
      <c r="B90" s="4" t="s">
        <v>14</v>
      </c>
      <c r="C90" s="4" t="s">
        <v>20</v>
      </c>
      <c r="D90" s="4" t="s">
        <v>27</v>
      </c>
      <c r="E90">
        <v>3864</v>
      </c>
      <c r="F90">
        <v>20</v>
      </c>
      <c r="G90">
        <v>77280</v>
      </c>
      <c r="H90">
        <v>76507.199999999997</v>
      </c>
      <c r="I90">
        <v>37867.199999999997</v>
      </c>
      <c r="J90" s="4" t="s">
        <v>4</v>
      </c>
      <c r="K90">
        <v>2019</v>
      </c>
    </row>
    <row r="91" spans="1:11" hidden="1" x14ac:dyDescent="0.3">
      <c r="A91" s="4" t="s">
        <v>6</v>
      </c>
      <c r="B91" s="4" t="s">
        <v>9</v>
      </c>
      <c r="C91" s="4" t="s">
        <v>20</v>
      </c>
      <c r="D91" s="4" t="s">
        <v>27</v>
      </c>
      <c r="E91">
        <v>362</v>
      </c>
      <c r="F91">
        <v>7</v>
      </c>
      <c r="G91">
        <v>2534</v>
      </c>
      <c r="H91">
        <v>2508.66</v>
      </c>
      <c r="I91">
        <v>698.66</v>
      </c>
      <c r="J91" s="4" t="s">
        <v>0</v>
      </c>
      <c r="K91">
        <v>2019</v>
      </c>
    </row>
    <row r="92" spans="1:11" hidden="1" x14ac:dyDescent="0.3">
      <c r="A92" s="4" t="s">
        <v>17</v>
      </c>
      <c r="B92" s="4" t="s">
        <v>40</v>
      </c>
      <c r="C92" s="4" t="s">
        <v>20</v>
      </c>
      <c r="D92" s="4" t="s">
        <v>27</v>
      </c>
      <c r="E92">
        <v>923</v>
      </c>
      <c r="F92">
        <v>125</v>
      </c>
      <c r="G92">
        <v>115375</v>
      </c>
      <c r="H92">
        <v>114221.25</v>
      </c>
      <c r="I92">
        <v>3461.25</v>
      </c>
      <c r="J92" s="4" t="s">
        <v>22</v>
      </c>
      <c r="K92">
        <v>2019</v>
      </c>
    </row>
    <row r="93" spans="1:11" hidden="1" x14ac:dyDescent="0.3">
      <c r="A93" s="4" t="s">
        <v>17</v>
      </c>
      <c r="B93" s="4" t="s">
        <v>42</v>
      </c>
      <c r="C93" s="4" t="s">
        <v>20</v>
      </c>
      <c r="D93" s="4" t="s">
        <v>27</v>
      </c>
      <c r="E93">
        <v>663</v>
      </c>
      <c r="F93">
        <v>125</v>
      </c>
      <c r="G93">
        <v>82875</v>
      </c>
      <c r="H93">
        <v>82046.25</v>
      </c>
      <c r="I93">
        <v>2486.25</v>
      </c>
      <c r="J93" s="4" t="s">
        <v>10</v>
      </c>
      <c r="K93">
        <v>2018</v>
      </c>
    </row>
    <row r="94" spans="1:11" hidden="1" x14ac:dyDescent="0.3">
      <c r="A94" s="4" t="s">
        <v>6</v>
      </c>
      <c r="B94" s="4" t="s">
        <v>40</v>
      </c>
      <c r="C94" s="4" t="s">
        <v>20</v>
      </c>
      <c r="D94" s="4" t="s">
        <v>27</v>
      </c>
      <c r="E94">
        <v>2092</v>
      </c>
      <c r="F94">
        <v>7</v>
      </c>
      <c r="G94">
        <v>14644</v>
      </c>
      <c r="H94">
        <v>14497.56</v>
      </c>
      <c r="I94">
        <v>4037.56</v>
      </c>
      <c r="J94" s="4" t="s">
        <v>16</v>
      </c>
      <c r="K94">
        <v>2018</v>
      </c>
    </row>
    <row r="95" spans="1:11" hidden="1" x14ac:dyDescent="0.3">
      <c r="A95" s="4" t="s">
        <v>6</v>
      </c>
      <c r="B95" s="4" t="s">
        <v>41</v>
      </c>
      <c r="C95" s="4" t="s">
        <v>2</v>
      </c>
      <c r="D95" s="4" t="s">
        <v>27</v>
      </c>
      <c r="E95">
        <v>263</v>
      </c>
      <c r="F95">
        <v>7</v>
      </c>
      <c r="G95">
        <v>1841</v>
      </c>
      <c r="H95">
        <v>1822.59</v>
      </c>
      <c r="I95">
        <v>507.59</v>
      </c>
      <c r="J95" s="4" t="s">
        <v>13</v>
      </c>
      <c r="K95">
        <v>2019</v>
      </c>
    </row>
    <row r="96" spans="1:11" hidden="1" x14ac:dyDescent="0.3">
      <c r="A96" s="4" t="s">
        <v>6</v>
      </c>
      <c r="B96" s="4" t="s">
        <v>40</v>
      </c>
      <c r="C96" s="4" t="s">
        <v>2</v>
      </c>
      <c r="D96" s="4" t="s">
        <v>27</v>
      </c>
      <c r="E96">
        <v>943.5</v>
      </c>
      <c r="F96">
        <v>350</v>
      </c>
      <c r="G96">
        <v>330225</v>
      </c>
      <c r="H96">
        <v>326922.75</v>
      </c>
      <c r="I96">
        <v>81612.75</v>
      </c>
      <c r="J96" s="4" t="s">
        <v>4</v>
      </c>
      <c r="K96">
        <v>2019</v>
      </c>
    </row>
    <row r="97" spans="1:11" hidden="1" x14ac:dyDescent="0.3">
      <c r="A97" s="4" t="s">
        <v>17</v>
      </c>
      <c r="B97" s="4" t="s">
        <v>42</v>
      </c>
      <c r="C97" s="4" t="s">
        <v>2</v>
      </c>
      <c r="D97" s="4" t="s">
        <v>27</v>
      </c>
      <c r="E97">
        <v>727</v>
      </c>
      <c r="F97">
        <v>125</v>
      </c>
      <c r="G97">
        <v>90875</v>
      </c>
      <c r="H97">
        <v>89966.25</v>
      </c>
      <c r="I97">
        <v>2726.25</v>
      </c>
      <c r="J97" s="4" t="s">
        <v>25</v>
      </c>
      <c r="K97">
        <v>2019</v>
      </c>
    </row>
    <row r="98" spans="1:11" hidden="1" x14ac:dyDescent="0.3">
      <c r="A98" s="4" t="s">
        <v>17</v>
      </c>
      <c r="B98" s="4" t="s">
        <v>14</v>
      </c>
      <c r="C98" s="4" t="s">
        <v>2</v>
      </c>
      <c r="D98" s="4" t="s">
        <v>27</v>
      </c>
      <c r="E98">
        <v>787</v>
      </c>
      <c r="F98">
        <v>125</v>
      </c>
      <c r="G98">
        <v>98375</v>
      </c>
      <c r="H98">
        <v>97391.25</v>
      </c>
      <c r="I98">
        <v>2951.25</v>
      </c>
      <c r="J98" s="4" t="s">
        <v>25</v>
      </c>
      <c r="K98">
        <v>2019</v>
      </c>
    </row>
    <row r="99" spans="1:11" hidden="1" x14ac:dyDescent="0.3">
      <c r="A99" s="4" t="s">
        <v>12</v>
      </c>
      <c r="B99" s="4" t="s">
        <v>41</v>
      </c>
      <c r="C99" s="4" t="s">
        <v>2</v>
      </c>
      <c r="D99" s="4" t="s">
        <v>27</v>
      </c>
      <c r="E99">
        <v>986</v>
      </c>
      <c r="F99">
        <v>300</v>
      </c>
      <c r="G99">
        <v>295800</v>
      </c>
      <c r="H99">
        <v>292842</v>
      </c>
      <c r="I99">
        <v>46342</v>
      </c>
      <c r="J99" s="4" t="s">
        <v>21</v>
      </c>
      <c r="K99">
        <v>2019</v>
      </c>
    </row>
    <row r="100" spans="1:11" hidden="1" x14ac:dyDescent="0.3">
      <c r="A100" s="4" t="s">
        <v>12</v>
      </c>
      <c r="B100" s="4" t="s">
        <v>9</v>
      </c>
      <c r="C100" s="4" t="s">
        <v>2</v>
      </c>
      <c r="D100" s="4" t="s">
        <v>27</v>
      </c>
      <c r="E100">
        <v>494</v>
      </c>
      <c r="F100">
        <v>300</v>
      </c>
      <c r="G100">
        <v>148200</v>
      </c>
      <c r="H100">
        <v>146718</v>
      </c>
      <c r="I100">
        <v>23218</v>
      </c>
      <c r="J100" s="4" t="s">
        <v>10</v>
      </c>
      <c r="K100">
        <v>2018</v>
      </c>
    </row>
    <row r="101" spans="1:11" hidden="1" x14ac:dyDescent="0.3">
      <c r="A101" s="4" t="s">
        <v>6</v>
      </c>
      <c r="B101" s="4" t="s">
        <v>9</v>
      </c>
      <c r="C101" s="4" t="s">
        <v>2</v>
      </c>
      <c r="D101" s="4" t="s">
        <v>27</v>
      </c>
      <c r="E101">
        <v>1397</v>
      </c>
      <c r="F101">
        <v>350</v>
      </c>
      <c r="G101">
        <v>488950</v>
      </c>
      <c r="H101">
        <v>484060.5</v>
      </c>
      <c r="I101">
        <v>120840.5</v>
      </c>
      <c r="J101" s="4" t="s">
        <v>10</v>
      </c>
      <c r="K101">
        <v>2019</v>
      </c>
    </row>
    <row r="102" spans="1:11" hidden="1" x14ac:dyDescent="0.3">
      <c r="A102" s="4" t="s">
        <v>17</v>
      </c>
      <c r="B102" s="4" t="s">
        <v>14</v>
      </c>
      <c r="C102" s="4" t="s">
        <v>2</v>
      </c>
      <c r="D102" s="4" t="s">
        <v>27</v>
      </c>
      <c r="E102">
        <v>1744</v>
      </c>
      <c r="F102">
        <v>125</v>
      </c>
      <c r="G102">
        <v>218000</v>
      </c>
      <c r="H102">
        <v>215820</v>
      </c>
      <c r="I102">
        <v>6540</v>
      </c>
      <c r="J102" s="4" t="s">
        <v>16</v>
      </c>
      <c r="K102">
        <v>2019</v>
      </c>
    </row>
    <row r="103" spans="1:11" hidden="1" x14ac:dyDescent="0.3">
      <c r="A103" s="4" t="s">
        <v>3</v>
      </c>
      <c r="B103" s="4" t="s">
        <v>42</v>
      </c>
      <c r="C103" s="4" t="s">
        <v>11</v>
      </c>
      <c r="D103" s="4" t="s">
        <v>27</v>
      </c>
      <c r="E103">
        <v>1989</v>
      </c>
      <c r="F103">
        <v>12</v>
      </c>
      <c r="G103">
        <v>23868</v>
      </c>
      <c r="H103">
        <v>23629.32</v>
      </c>
      <c r="I103">
        <v>17662.32</v>
      </c>
      <c r="J103" s="4" t="s">
        <v>21</v>
      </c>
      <c r="K103">
        <v>2018</v>
      </c>
    </row>
    <row r="104" spans="1:11" hidden="1" x14ac:dyDescent="0.3">
      <c r="A104" s="4" t="s">
        <v>18</v>
      </c>
      <c r="B104" s="4" t="s">
        <v>14</v>
      </c>
      <c r="C104" s="4" t="s">
        <v>11</v>
      </c>
      <c r="D104" s="4" t="s">
        <v>27</v>
      </c>
      <c r="E104">
        <v>321</v>
      </c>
      <c r="F104">
        <v>15</v>
      </c>
      <c r="G104">
        <v>4815</v>
      </c>
      <c r="H104">
        <v>4766.8500000000004</v>
      </c>
      <c r="I104">
        <v>1556.85</v>
      </c>
      <c r="J104" s="4" t="s">
        <v>16</v>
      </c>
      <c r="K104">
        <v>2018</v>
      </c>
    </row>
    <row r="105" spans="1:11" x14ac:dyDescent="0.3">
      <c r="A105" s="4" t="s">
        <v>17</v>
      </c>
      <c r="B105" s="4" t="s">
        <v>40</v>
      </c>
      <c r="C105" s="4" t="s">
        <v>23</v>
      </c>
      <c r="D105" s="4" t="s">
        <v>27</v>
      </c>
      <c r="E105">
        <v>742.5</v>
      </c>
      <c r="F105">
        <v>125</v>
      </c>
      <c r="G105">
        <v>92812.5</v>
      </c>
      <c r="H105">
        <v>90956.25</v>
      </c>
      <c r="I105">
        <v>1856.25</v>
      </c>
      <c r="J105" s="4" t="s">
        <v>4</v>
      </c>
      <c r="K105">
        <v>2019</v>
      </c>
    </row>
    <row r="106" spans="1:11" x14ac:dyDescent="0.3">
      <c r="A106" s="4" t="s">
        <v>3</v>
      </c>
      <c r="B106" s="4" t="s">
        <v>40</v>
      </c>
      <c r="C106" s="4" t="s">
        <v>23</v>
      </c>
      <c r="D106" s="4" t="s">
        <v>27</v>
      </c>
      <c r="E106">
        <v>1295</v>
      </c>
      <c r="F106">
        <v>12</v>
      </c>
      <c r="G106">
        <v>15540</v>
      </c>
      <c r="H106">
        <v>15229.2</v>
      </c>
      <c r="I106">
        <v>11344.2</v>
      </c>
      <c r="J106" s="4" t="s">
        <v>10</v>
      </c>
      <c r="K106">
        <v>2019</v>
      </c>
    </row>
    <row r="107" spans="1:11" x14ac:dyDescent="0.3">
      <c r="A107" s="4" t="s">
        <v>12</v>
      </c>
      <c r="B107" s="4" t="s">
        <v>41</v>
      </c>
      <c r="C107" s="4" t="s">
        <v>23</v>
      </c>
      <c r="D107" s="4" t="s">
        <v>27</v>
      </c>
      <c r="E107">
        <v>214</v>
      </c>
      <c r="F107">
        <v>300</v>
      </c>
      <c r="G107">
        <v>64200</v>
      </c>
      <c r="H107">
        <v>62916</v>
      </c>
      <c r="I107">
        <v>9416</v>
      </c>
      <c r="J107" s="4" t="s">
        <v>10</v>
      </c>
      <c r="K107">
        <v>2018</v>
      </c>
    </row>
    <row r="108" spans="1:11" x14ac:dyDescent="0.3">
      <c r="A108" s="4" t="s">
        <v>6</v>
      </c>
      <c r="B108" s="4" t="s">
        <v>14</v>
      </c>
      <c r="C108" s="4" t="s">
        <v>23</v>
      </c>
      <c r="D108" s="4" t="s">
        <v>27</v>
      </c>
      <c r="E108">
        <v>2145</v>
      </c>
      <c r="F108">
        <v>7</v>
      </c>
      <c r="G108">
        <v>15015</v>
      </c>
      <c r="H108">
        <v>14714.7</v>
      </c>
      <c r="I108">
        <v>3989.7</v>
      </c>
      <c r="J108" s="4" t="s">
        <v>16</v>
      </c>
      <c r="K108">
        <v>2018</v>
      </c>
    </row>
    <row r="109" spans="1:11" x14ac:dyDescent="0.3">
      <c r="A109" s="4" t="s">
        <v>6</v>
      </c>
      <c r="B109" s="4" t="s">
        <v>40</v>
      </c>
      <c r="C109" s="4" t="s">
        <v>23</v>
      </c>
      <c r="D109" s="4" t="s">
        <v>27</v>
      </c>
      <c r="E109">
        <v>2852</v>
      </c>
      <c r="F109">
        <v>350</v>
      </c>
      <c r="G109">
        <v>998200</v>
      </c>
      <c r="H109">
        <v>978236</v>
      </c>
      <c r="I109">
        <v>236716</v>
      </c>
      <c r="J109" s="4" t="s">
        <v>15</v>
      </c>
      <c r="K109">
        <v>2019</v>
      </c>
    </row>
    <row r="110" spans="1:11" hidden="1" x14ac:dyDescent="0.3">
      <c r="A110" s="4" t="s">
        <v>3</v>
      </c>
      <c r="B110" s="4" t="s">
        <v>42</v>
      </c>
      <c r="C110" s="4" t="s">
        <v>8</v>
      </c>
      <c r="D110" s="4" t="s">
        <v>27</v>
      </c>
      <c r="E110">
        <v>1142</v>
      </c>
      <c r="F110">
        <v>12</v>
      </c>
      <c r="G110">
        <v>13704</v>
      </c>
      <c r="H110">
        <v>13429.92</v>
      </c>
      <c r="I110">
        <v>10003.92</v>
      </c>
      <c r="J110" s="4" t="s">
        <v>25</v>
      </c>
      <c r="K110">
        <v>2019</v>
      </c>
    </row>
    <row r="111" spans="1:11" hidden="1" x14ac:dyDescent="0.3">
      <c r="A111" s="4" t="s">
        <v>6</v>
      </c>
      <c r="B111" s="4" t="s">
        <v>42</v>
      </c>
      <c r="C111" s="4" t="s">
        <v>8</v>
      </c>
      <c r="D111" s="4" t="s">
        <v>27</v>
      </c>
      <c r="E111">
        <v>1566</v>
      </c>
      <c r="F111">
        <v>20</v>
      </c>
      <c r="G111">
        <v>31320</v>
      </c>
      <c r="H111">
        <v>30693.599999999999</v>
      </c>
      <c r="I111">
        <v>15033.6</v>
      </c>
      <c r="J111" s="4" t="s">
        <v>10</v>
      </c>
      <c r="K111">
        <v>2019</v>
      </c>
    </row>
    <row r="112" spans="1:11" hidden="1" x14ac:dyDescent="0.3">
      <c r="A112" s="4" t="s">
        <v>3</v>
      </c>
      <c r="B112" s="4" t="s">
        <v>9</v>
      </c>
      <c r="C112" s="4" t="s">
        <v>8</v>
      </c>
      <c r="D112" s="4" t="s">
        <v>27</v>
      </c>
      <c r="E112">
        <v>690</v>
      </c>
      <c r="F112">
        <v>12</v>
      </c>
      <c r="G112">
        <v>8280</v>
      </c>
      <c r="H112">
        <v>8114.4</v>
      </c>
      <c r="I112">
        <v>6044.4</v>
      </c>
      <c r="J112" s="4" t="s">
        <v>16</v>
      </c>
      <c r="K112">
        <v>2019</v>
      </c>
    </row>
    <row r="113" spans="1:11" hidden="1" x14ac:dyDescent="0.3">
      <c r="A113" s="4" t="s">
        <v>17</v>
      </c>
      <c r="B113" s="4" t="s">
        <v>9</v>
      </c>
      <c r="C113" s="4" t="s">
        <v>8</v>
      </c>
      <c r="D113" s="4" t="s">
        <v>27</v>
      </c>
      <c r="E113">
        <v>1660</v>
      </c>
      <c r="F113">
        <v>125</v>
      </c>
      <c r="G113">
        <v>207500</v>
      </c>
      <c r="H113">
        <v>203350</v>
      </c>
      <c r="I113">
        <v>4150</v>
      </c>
      <c r="J113" s="4" t="s">
        <v>16</v>
      </c>
      <c r="K113">
        <v>2018</v>
      </c>
    </row>
    <row r="114" spans="1:11" hidden="1" x14ac:dyDescent="0.3">
      <c r="A114" s="4" t="s">
        <v>18</v>
      </c>
      <c r="B114" s="4" t="s">
        <v>40</v>
      </c>
      <c r="C114" s="4" t="s">
        <v>5</v>
      </c>
      <c r="D114" s="4" t="s">
        <v>27</v>
      </c>
      <c r="E114">
        <v>2363</v>
      </c>
      <c r="F114">
        <v>15</v>
      </c>
      <c r="G114">
        <v>35445</v>
      </c>
      <c r="H114">
        <v>34736.1</v>
      </c>
      <c r="I114">
        <v>11106.1</v>
      </c>
      <c r="J114" s="4" t="s">
        <v>7</v>
      </c>
      <c r="K114">
        <v>2019</v>
      </c>
    </row>
    <row r="115" spans="1:11" hidden="1" x14ac:dyDescent="0.3">
      <c r="A115" s="4" t="s">
        <v>12</v>
      </c>
      <c r="B115" s="4" t="s">
        <v>14</v>
      </c>
      <c r="C115" s="4" t="s">
        <v>5</v>
      </c>
      <c r="D115" s="4" t="s">
        <v>27</v>
      </c>
      <c r="E115">
        <v>918</v>
      </c>
      <c r="F115">
        <v>300</v>
      </c>
      <c r="G115">
        <v>275400</v>
      </c>
      <c r="H115">
        <v>269892</v>
      </c>
      <c r="I115">
        <v>40392</v>
      </c>
      <c r="J115" s="4" t="s">
        <v>0</v>
      </c>
      <c r="K115">
        <v>2019</v>
      </c>
    </row>
    <row r="116" spans="1:11" hidden="1" x14ac:dyDescent="0.3">
      <c r="A116" s="4" t="s">
        <v>12</v>
      </c>
      <c r="B116" s="4" t="s">
        <v>41</v>
      </c>
      <c r="C116" s="4" t="s">
        <v>5</v>
      </c>
      <c r="D116" s="4" t="s">
        <v>27</v>
      </c>
      <c r="E116">
        <v>1728</v>
      </c>
      <c r="F116">
        <v>300</v>
      </c>
      <c r="G116">
        <v>518400</v>
      </c>
      <c r="H116">
        <v>508032</v>
      </c>
      <c r="I116">
        <v>76032</v>
      </c>
      <c r="J116" s="4" t="s">
        <v>0</v>
      </c>
      <c r="K116">
        <v>2019</v>
      </c>
    </row>
    <row r="117" spans="1:11" hidden="1" x14ac:dyDescent="0.3">
      <c r="A117" s="4" t="s">
        <v>3</v>
      </c>
      <c r="B117" s="4" t="s">
        <v>42</v>
      </c>
      <c r="C117" s="4" t="s">
        <v>5</v>
      </c>
      <c r="D117" s="4" t="s">
        <v>27</v>
      </c>
      <c r="E117">
        <v>1142</v>
      </c>
      <c r="F117">
        <v>12</v>
      </c>
      <c r="G117">
        <v>13704</v>
      </c>
      <c r="H117">
        <v>13429.92</v>
      </c>
      <c r="I117">
        <v>10003.92</v>
      </c>
      <c r="J117" s="4" t="s">
        <v>25</v>
      </c>
      <c r="K117">
        <v>2019</v>
      </c>
    </row>
    <row r="118" spans="1:11" hidden="1" x14ac:dyDescent="0.3">
      <c r="A118" s="4" t="s">
        <v>17</v>
      </c>
      <c r="B118" s="4" t="s">
        <v>9</v>
      </c>
      <c r="C118" s="4" t="s">
        <v>5</v>
      </c>
      <c r="D118" s="4" t="s">
        <v>27</v>
      </c>
      <c r="E118">
        <v>662</v>
      </c>
      <c r="F118">
        <v>125</v>
      </c>
      <c r="G118">
        <v>82750</v>
      </c>
      <c r="H118">
        <v>81095</v>
      </c>
      <c r="I118">
        <v>1655</v>
      </c>
      <c r="J118" s="4" t="s">
        <v>25</v>
      </c>
      <c r="K118">
        <v>2019</v>
      </c>
    </row>
    <row r="119" spans="1:11" hidden="1" x14ac:dyDescent="0.3">
      <c r="A119" s="4" t="s">
        <v>3</v>
      </c>
      <c r="B119" s="4" t="s">
        <v>40</v>
      </c>
      <c r="C119" s="4" t="s">
        <v>5</v>
      </c>
      <c r="D119" s="4" t="s">
        <v>27</v>
      </c>
      <c r="E119">
        <v>1295</v>
      </c>
      <c r="F119">
        <v>12</v>
      </c>
      <c r="G119">
        <v>15540</v>
      </c>
      <c r="H119">
        <v>15229.2</v>
      </c>
      <c r="I119">
        <v>11344.2</v>
      </c>
      <c r="J119" s="4" t="s">
        <v>10</v>
      </c>
      <c r="K119">
        <v>2019</v>
      </c>
    </row>
    <row r="120" spans="1:11" hidden="1" x14ac:dyDescent="0.3">
      <c r="A120" s="4" t="s">
        <v>17</v>
      </c>
      <c r="B120" s="4" t="s">
        <v>41</v>
      </c>
      <c r="C120" s="4" t="s">
        <v>5</v>
      </c>
      <c r="D120" s="4" t="s">
        <v>27</v>
      </c>
      <c r="E120">
        <v>809</v>
      </c>
      <c r="F120">
        <v>125</v>
      </c>
      <c r="G120">
        <v>101125</v>
      </c>
      <c r="H120">
        <v>99102.5</v>
      </c>
      <c r="I120">
        <v>2022.5</v>
      </c>
      <c r="J120" s="4" t="s">
        <v>10</v>
      </c>
      <c r="K120">
        <v>2018</v>
      </c>
    </row>
    <row r="121" spans="1:11" hidden="1" x14ac:dyDescent="0.3">
      <c r="A121" s="4" t="s">
        <v>17</v>
      </c>
      <c r="B121" s="4" t="s">
        <v>9</v>
      </c>
      <c r="C121" s="4" t="s">
        <v>5</v>
      </c>
      <c r="D121" s="4" t="s">
        <v>27</v>
      </c>
      <c r="E121">
        <v>2145</v>
      </c>
      <c r="F121">
        <v>125</v>
      </c>
      <c r="G121">
        <v>268125</v>
      </c>
      <c r="H121">
        <v>262762.5</v>
      </c>
      <c r="I121">
        <v>5362.5</v>
      </c>
      <c r="J121" s="4" t="s">
        <v>10</v>
      </c>
      <c r="K121">
        <v>2018</v>
      </c>
    </row>
    <row r="122" spans="1:11" hidden="1" x14ac:dyDescent="0.3">
      <c r="A122" s="4" t="s">
        <v>3</v>
      </c>
      <c r="B122" s="4" t="s">
        <v>14</v>
      </c>
      <c r="C122" s="4" t="s">
        <v>5</v>
      </c>
      <c r="D122" s="4" t="s">
        <v>27</v>
      </c>
      <c r="E122">
        <v>1785</v>
      </c>
      <c r="F122">
        <v>12</v>
      </c>
      <c r="G122">
        <v>21420</v>
      </c>
      <c r="H122">
        <v>20991.599999999999</v>
      </c>
      <c r="I122">
        <v>15636.6</v>
      </c>
      <c r="J122" s="4" t="s">
        <v>16</v>
      </c>
      <c r="K122">
        <v>2018</v>
      </c>
    </row>
    <row r="123" spans="1:11" hidden="1" x14ac:dyDescent="0.3">
      <c r="A123" s="4" t="s">
        <v>12</v>
      </c>
      <c r="B123" s="4" t="s">
        <v>40</v>
      </c>
      <c r="C123" s="4" t="s">
        <v>5</v>
      </c>
      <c r="D123" s="4" t="s">
        <v>27</v>
      </c>
      <c r="E123">
        <v>1916</v>
      </c>
      <c r="F123">
        <v>300</v>
      </c>
      <c r="G123">
        <v>574800</v>
      </c>
      <c r="H123">
        <v>563304</v>
      </c>
      <c r="I123">
        <v>84304</v>
      </c>
      <c r="J123" s="4" t="s">
        <v>15</v>
      </c>
      <c r="K123">
        <v>2019</v>
      </c>
    </row>
    <row r="124" spans="1:11" hidden="1" x14ac:dyDescent="0.3">
      <c r="A124" s="4" t="s">
        <v>6</v>
      </c>
      <c r="B124" s="4" t="s">
        <v>40</v>
      </c>
      <c r="C124" s="4" t="s">
        <v>5</v>
      </c>
      <c r="D124" s="4" t="s">
        <v>27</v>
      </c>
      <c r="E124">
        <v>2852</v>
      </c>
      <c r="F124">
        <v>350</v>
      </c>
      <c r="G124">
        <v>998200</v>
      </c>
      <c r="H124">
        <v>978236</v>
      </c>
      <c r="I124">
        <v>236716</v>
      </c>
      <c r="J124" s="4" t="s">
        <v>15</v>
      </c>
      <c r="K124">
        <v>2019</v>
      </c>
    </row>
    <row r="125" spans="1:11" hidden="1" x14ac:dyDescent="0.3">
      <c r="A125" s="4" t="s">
        <v>17</v>
      </c>
      <c r="B125" s="4" t="s">
        <v>40</v>
      </c>
      <c r="C125" s="4" t="s">
        <v>5</v>
      </c>
      <c r="D125" s="4" t="s">
        <v>27</v>
      </c>
      <c r="E125">
        <v>2729</v>
      </c>
      <c r="F125">
        <v>125</v>
      </c>
      <c r="G125">
        <v>341125</v>
      </c>
      <c r="H125">
        <v>334302.5</v>
      </c>
      <c r="I125">
        <v>6822.5</v>
      </c>
      <c r="J125" s="4" t="s">
        <v>15</v>
      </c>
      <c r="K125">
        <v>2019</v>
      </c>
    </row>
    <row r="126" spans="1:11" hidden="1" x14ac:dyDescent="0.3">
      <c r="A126" s="4" t="s">
        <v>18</v>
      </c>
      <c r="B126" s="4" t="s">
        <v>42</v>
      </c>
      <c r="C126" s="4" t="s">
        <v>5</v>
      </c>
      <c r="D126" s="4" t="s">
        <v>27</v>
      </c>
      <c r="E126">
        <v>1925</v>
      </c>
      <c r="F126">
        <v>15</v>
      </c>
      <c r="G126">
        <v>28875</v>
      </c>
      <c r="H126">
        <v>28297.5</v>
      </c>
      <c r="I126">
        <v>9047.5</v>
      </c>
      <c r="J126" s="4" t="s">
        <v>15</v>
      </c>
      <c r="K126">
        <v>2018</v>
      </c>
    </row>
    <row r="127" spans="1:11" hidden="1" x14ac:dyDescent="0.3">
      <c r="A127" s="4" t="s">
        <v>6</v>
      </c>
      <c r="B127" s="4" t="s">
        <v>42</v>
      </c>
      <c r="C127" s="4" t="s">
        <v>5</v>
      </c>
      <c r="D127" s="4" t="s">
        <v>27</v>
      </c>
      <c r="E127">
        <v>2013</v>
      </c>
      <c r="F127">
        <v>7</v>
      </c>
      <c r="G127">
        <v>14091</v>
      </c>
      <c r="H127">
        <v>13809.18</v>
      </c>
      <c r="I127">
        <v>3744.18</v>
      </c>
      <c r="J127" s="4" t="s">
        <v>15</v>
      </c>
      <c r="K127">
        <v>2018</v>
      </c>
    </row>
    <row r="128" spans="1:11" hidden="1" x14ac:dyDescent="0.3">
      <c r="A128" s="4" t="s">
        <v>3</v>
      </c>
      <c r="B128" s="4" t="s">
        <v>14</v>
      </c>
      <c r="C128" s="4" t="s">
        <v>5</v>
      </c>
      <c r="D128" s="4" t="s">
        <v>27</v>
      </c>
      <c r="E128">
        <v>1055</v>
      </c>
      <c r="F128">
        <v>12</v>
      </c>
      <c r="G128">
        <v>12660</v>
      </c>
      <c r="H128">
        <v>12406.8</v>
      </c>
      <c r="I128">
        <v>9241.7999999999993</v>
      </c>
      <c r="J128" s="4" t="s">
        <v>15</v>
      </c>
      <c r="K128">
        <v>2019</v>
      </c>
    </row>
    <row r="129" spans="1:11" hidden="1" x14ac:dyDescent="0.3">
      <c r="A129" s="4" t="s">
        <v>3</v>
      </c>
      <c r="B129" s="4" t="s">
        <v>9</v>
      </c>
      <c r="C129" s="4" t="s">
        <v>5</v>
      </c>
      <c r="D129" s="4" t="s">
        <v>27</v>
      </c>
      <c r="E129">
        <v>1084</v>
      </c>
      <c r="F129">
        <v>12</v>
      </c>
      <c r="G129">
        <v>13008</v>
      </c>
      <c r="H129">
        <v>12747.84</v>
      </c>
      <c r="I129">
        <v>9495.84</v>
      </c>
      <c r="J129" s="4" t="s">
        <v>15</v>
      </c>
      <c r="K129">
        <v>2019</v>
      </c>
    </row>
    <row r="130" spans="1:11" hidden="1" x14ac:dyDescent="0.3">
      <c r="A130" s="4" t="s">
        <v>6</v>
      </c>
      <c r="B130" s="4" t="s">
        <v>42</v>
      </c>
      <c r="C130" s="4" t="s">
        <v>20</v>
      </c>
      <c r="D130" s="4" t="s">
        <v>27</v>
      </c>
      <c r="E130">
        <v>1566</v>
      </c>
      <c r="F130">
        <v>20</v>
      </c>
      <c r="G130">
        <v>31320</v>
      </c>
      <c r="H130">
        <v>30693.599999999999</v>
      </c>
      <c r="I130">
        <v>15033.6</v>
      </c>
      <c r="J130" s="4" t="s">
        <v>10</v>
      </c>
      <c r="K130">
        <v>2019</v>
      </c>
    </row>
    <row r="131" spans="1:11" hidden="1" x14ac:dyDescent="0.3">
      <c r="A131" s="4" t="s">
        <v>6</v>
      </c>
      <c r="B131" s="4" t="s">
        <v>41</v>
      </c>
      <c r="C131" s="4" t="s">
        <v>20</v>
      </c>
      <c r="D131" s="4" t="s">
        <v>27</v>
      </c>
      <c r="E131">
        <v>2966</v>
      </c>
      <c r="F131">
        <v>350</v>
      </c>
      <c r="G131">
        <v>1038100</v>
      </c>
      <c r="H131">
        <v>1017338</v>
      </c>
      <c r="I131">
        <v>246178</v>
      </c>
      <c r="J131" s="4" t="s">
        <v>10</v>
      </c>
      <c r="K131">
        <v>2018</v>
      </c>
    </row>
    <row r="132" spans="1:11" hidden="1" x14ac:dyDescent="0.3">
      <c r="A132" s="4" t="s">
        <v>6</v>
      </c>
      <c r="B132" s="4" t="s">
        <v>41</v>
      </c>
      <c r="C132" s="4" t="s">
        <v>20</v>
      </c>
      <c r="D132" s="4" t="s">
        <v>27</v>
      </c>
      <c r="E132">
        <v>2877</v>
      </c>
      <c r="F132">
        <v>350</v>
      </c>
      <c r="G132">
        <v>1006950</v>
      </c>
      <c r="H132">
        <v>986811</v>
      </c>
      <c r="I132">
        <v>238791</v>
      </c>
      <c r="J132" s="4" t="s">
        <v>10</v>
      </c>
      <c r="K132">
        <v>2019</v>
      </c>
    </row>
    <row r="133" spans="1:11" hidden="1" x14ac:dyDescent="0.3">
      <c r="A133" s="4" t="s">
        <v>17</v>
      </c>
      <c r="B133" s="4" t="s">
        <v>41</v>
      </c>
      <c r="C133" s="4" t="s">
        <v>20</v>
      </c>
      <c r="D133" s="4" t="s">
        <v>27</v>
      </c>
      <c r="E133">
        <v>809</v>
      </c>
      <c r="F133">
        <v>125</v>
      </c>
      <c r="G133">
        <v>101125</v>
      </c>
      <c r="H133">
        <v>99102.5</v>
      </c>
      <c r="I133">
        <v>2022.5</v>
      </c>
      <c r="J133" s="4" t="s">
        <v>10</v>
      </c>
      <c r="K133">
        <v>2018</v>
      </c>
    </row>
    <row r="134" spans="1:11" hidden="1" x14ac:dyDescent="0.3">
      <c r="A134" s="4" t="s">
        <v>17</v>
      </c>
      <c r="B134" s="4" t="s">
        <v>9</v>
      </c>
      <c r="C134" s="4" t="s">
        <v>20</v>
      </c>
      <c r="D134" s="4" t="s">
        <v>27</v>
      </c>
      <c r="E134">
        <v>2145</v>
      </c>
      <c r="F134">
        <v>125</v>
      </c>
      <c r="G134">
        <v>268125</v>
      </c>
      <c r="H134">
        <v>262762.5</v>
      </c>
      <c r="I134">
        <v>5362.5</v>
      </c>
      <c r="J134" s="4" t="s">
        <v>10</v>
      </c>
      <c r="K134">
        <v>2018</v>
      </c>
    </row>
    <row r="135" spans="1:11" hidden="1" x14ac:dyDescent="0.3">
      <c r="A135" s="4" t="s">
        <v>3</v>
      </c>
      <c r="B135" s="4" t="s">
        <v>14</v>
      </c>
      <c r="C135" s="4" t="s">
        <v>20</v>
      </c>
      <c r="D135" s="4" t="s">
        <v>27</v>
      </c>
      <c r="E135">
        <v>1055</v>
      </c>
      <c r="F135">
        <v>12</v>
      </c>
      <c r="G135">
        <v>12660</v>
      </c>
      <c r="H135">
        <v>12406.8</v>
      </c>
      <c r="I135">
        <v>9241.7999999999993</v>
      </c>
      <c r="J135" s="4" t="s">
        <v>15</v>
      </c>
      <c r="K135">
        <v>2019</v>
      </c>
    </row>
    <row r="136" spans="1:11" hidden="1" x14ac:dyDescent="0.3">
      <c r="A136" s="4" t="s">
        <v>6</v>
      </c>
      <c r="B136" s="4" t="s">
        <v>9</v>
      </c>
      <c r="C136" s="4" t="s">
        <v>20</v>
      </c>
      <c r="D136" s="4" t="s">
        <v>27</v>
      </c>
      <c r="E136">
        <v>544</v>
      </c>
      <c r="F136">
        <v>20</v>
      </c>
      <c r="G136">
        <v>10880</v>
      </c>
      <c r="H136">
        <v>10662.4</v>
      </c>
      <c r="I136">
        <v>5222.3999999999996</v>
      </c>
      <c r="J136" s="4" t="s">
        <v>15</v>
      </c>
      <c r="K136">
        <v>2018</v>
      </c>
    </row>
    <row r="137" spans="1:11" hidden="1" x14ac:dyDescent="0.3">
      <c r="A137" s="4" t="s">
        <v>3</v>
      </c>
      <c r="B137" s="4" t="s">
        <v>9</v>
      </c>
      <c r="C137" s="4" t="s">
        <v>20</v>
      </c>
      <c r="D137" s="4" t="s">
        <v>27</v>
      </c>
      <c r="E137">
        <v>1084</v>
      </c>
      <c r="F137">
        <v>12</v>
      </c>
      <c r="G137">
        <v>13008</v>
      </c>
      <c r="H137">
        <v>12747.84</v>
      </c>
      <c r="I137">
        <v>9495.84</v>
      </c>
      <c r="J137" s="4" t="s">
        <v>15</v>
      </c>
      <c r="K137">
        <v>2019</v>
      </c>
    </row>
    <row r="138" spans="1:11" hidden="1" x14ac:dyDescent="0.3">
      <c r="A138" s="4" t="s">
        <v>17</v>
      </c>
      <c r="B138" s="4" t="s">
        <v>9</v>
      </c>
      <c r="C138" s="4" t="s">
        <v>2</v>
      </c>
      <c r="D138" s="4" t="s">
        <v>27</v>
      </c>
      <c r="E138">
        <v>662</v>
      </c>
      <c r="F138">
        <v>125</v>
      </c>
      <c r="G138">
        <v>82750</v>
      </c>
      <c r="H138">
        <v>81095</v>
      </c>
      <c r="I138">
        <v>1655</v>
      </c>
      <c r="J138" s="4" t="s">
        <v>25</v>
      </c>
      <c r="K138">
        <v>2019</v>
      </c>
    </row>
    <row r="139" spans="1:11" hidden="1" x14ac:dyDescent="0.3">
      <c r="A139" s="4" t="s">
        <v>12</v>
      </c>
      <c r="B139" s="4" t="s">
        <v>41</v>
      </c>
      <c r="C139" s="4" t="s">
        <v>2</v>
      </c>
      <c r="D139" s="4" t="s">
        <v>27</v>
      </c>
      <c r="E139">
        <v>214</v>
      </c>
      <c r="F139">
        <v>300</v>
      </c>
      <c r="G139">
        <v>64200</v>
      </c>
      <c r="H139">
        <v>62916</v>
      </c>
      <c r="I139">
        <v>9416</v>
      </c>
      <c r="J139" s="4" t="s">
        <v>10</v>
      </c>
      <c r="K139">
        <v>2018</v>
      </c>
    </row>
    <row r="140" spans="1:11" hidden="1" x14ac:dyDescent="0.3">
      <c r="A140" s="4" t="s">
        <v>6</v>
      </c>
      <c r="B140" s="4" t="s">
        <v>41</v>
      </c>
      <c r="C140" s="4" t="s">
        <v>2</v>
      </c>
      <c r="D140" s="4" t="s">
        <v>27</v>
      </c>
      <c r="E140">
        <v>2877</v>
      </c>
      <c r="F140">
        <v>350</v>
      </c>
      <c r="G140">
        <v>1006950</v>
      </c>
      <c r="H140">
        <v>986811</v>
      </c>
      <c r="I140">
        <v>238791</v>
      </c>
      <c r="J140" s="4" t="s">
        <v>10</v>
      </c>
      <c r="K140">
        <v>2019</v>
      </c>
    </row>
    <row r="141" spans="1:11" hidden="1" x14ac:dyDescent="0.3">
      <c r="A141" s="4" t="s">
        <v>17</v>
      </c>
      <c r="B141" s="4" t="s">
        <v>40</v>
      </c>
      <c r="C141" s="4" t="s">
        <v>2</v>
      </c>
      <c r="D141" s="4" t="s">
        <v>27</v>
      </c>
      <c r="E141">
        <v>2729</v>
      </c>
      <c r="F141">
        <v>125</v>
      </c>
      <c r="G141">
        <v>341125</v>
      </c>
      <c r="H141">
        <v>334302.5</v>
      </c>
      <c r="I141">
        <v>6822.5</v>
      </c>
      <c r="J141" s="4" t="s">
        <v>15</v>
      </c>
      <c r="K141">
        <v>2019</v>
      </c>
    </row>
    <row r="142" spans="1:11" hidden="1" x14ac:dyDescent="0.3">
      <c r="A142" s="4" t="s">
        <v>6</v>
      </c>
      <c r="B142" s="4" t="s">
        <v>42</v>
      </c>
      <c r="C142" s="4" t="s">
        <v>2</v>
      </c>
      <c r="D142" s="4" t="s">
        <v>27</v>
      </c>
      <c r="E142">
        <v>266</v>
      </c>
      <c r="F142">
        <v>350</v>
      </c>
      <c r="G142">
        <v>93100</v>
      </c>
      <c r="H142">
        <v>91238</v>
      </c>
      <c r="I142">
        <v>22078</v>
      </c>
      <c r="J142" s="4" t="s">
        <v>15</v>
      </c>
      <c r="K142">
        <v>2018</v>
      </c>
    </row>
    <row r="143" spans="1:11" hidden="1" x14ac:dyDescent="0.3">
      <c r="A143" s="4" t="s">
        <v>6</v>
      </c>
      <c r="B143" s="4" t="s">
        <v>9</v>
      </c>
      <c r="C143" s="4" t="s">
        <v>2</v>
      </c>
      <c r="D143" s="4" t="s">
        <v>27</v>
      </c>
      <c r="E143">
        <v>1940</v>
      </c>
      <c r="F143">
        <v>350</v>
      </c>
      <c r="G143">
        <v>679000</v>
      </c>
      <c r="H143">
        <v>665420</v>
      </c>
      <c r="I143">
        <v>161020</v>
      </c>
      <c r="J143" s="4" t="s">
        <v>15</v>
      </c>
      <c r="K143">
        <v>2018</v>
      </c>
    </row>
    <row r="144" spans="1:11" hidden="1" x14ac:dyDescent="0.3">
      <c r="A144" s="4" t="s">
        <v>12</v>
      </c>
      <c r="B144" s="4" t="s">
        <v>41</v>
      </c>
      <c r="C144" s="4" t="s">
        <v>11</v>
      </c>
      <c r="D144" s="4" t="s">
        <v>27</v>
      </c>
      <c r="E144">
        <v>259</v>
      </c>
      <c r="F144">
        <v>300</v>
      </c>
      <c r="G144">
        <v>77700</v>
      </c>
      <c r="H144">
        <v>76146</v>
      </c>
      <c r="I144">
        <v>11396</v>
      </c>
      <c r="J144" s="4" t="s">
        <v>13</v>
      </c>
      <c r="K144">
        <v>2019</v>
      </c>
    </row>
    <row r="145" spans="1:11" hidden="1" x14ac:dyDescent="0.3">
      <c r="A145" s="4" t="s">
        <v>12</v>
      </c>
      <c r="B145" s="4" t="s">
        <v>9</v>
      </c>
      <c r="C145" s="4" t="s">
        <v>11</v>
      </c>
      <c r="D145" s="4" t="s">
        <v>27</v>
      </c>
      <c r="E145">
        <v>1101</v>
      </c>
      <c r="F145">
        <v>300</v>
      </c>
      <c r="G145">
        <v>330300</v>
      </c>
      <c r="H145">
        <v>323694</v>
      </c>
      <c r="I145">
        <v>48444</v>
      </c>
      <c r="J145" s="4" t="s">
        <v>13</v>
      </c>
      <c r="K145">
        <v>2019</v>
      </c>
    </row>
    <row r="146" spans="1:11" hidden="1" x14ac:dyDescent="0.3">
      <c r="A146" s="4" t="s">
        <v>17</v>
      </c>
      <c r="B146" s="4" t="s">
        <v>41</v>
      </c>
      <c r="C146" s="4" t="s">
        <v>11</v>
      </c>
      <c r="D146" s="4" t="s">
        <v>27</v>
      </c>
      <c r="E146">
        <v>2276</v>
      </c>
      <c r="F146">
        <v>125</v>
      </c>
      <c r="G146">
        <v>284500</v>
      </c>
      <c r="H146">
        <v>278810</v>
      </c>
      <c r="I146">
        <v>5690</v>
      </c>
      <c r="J146" s="4" t="s">
        <v>0</v>
      </c>
      <c r="K146">
        <v>2019</v>
      </c>
    </row>
    <row r="147" spans="1:11" hidden="1" x14ac:dyDescent="0.3">
      <c r="A147" s="4" t="s">
        <v>6</v>
      </c>
      <c r="B147" s="4" t="s">
        <v>41</v>
      </c>
      <c r="C147" s="4" t="s">
        <v>11</v>
      </c>
      <c r="D147" s="4" t="s">
        <v>27</v>
      </c>
      <c r="E147">
        <v>2966</v>
      </c>
      <c r="F147">
        <v>350</v>
      </c>
      <c r="G147">
        <v>1038100</v>
      </c>
      <c r="H147">
        <v>1017338</v>
      </c>
      <c r="I147">
        <v>246178</v>
      </c>
      <c r="J147" s="4" t="s">
        <v>10</v>
      </c>
      <c r="K147">
        <v>2018</v>
      </c>
    </row>
    <row r="148" spans="1:11" hidden="1" x14ac:dyDescent="0.3">
      <c r="A148" s="4" t="s">
        <v>6</v>
      </c>
      <c r="B148" s="4" t="s">
        <v>42</v>
      </c>
      <c r="C148" s="4" t="s">
        <v>11</v>
      </c>
      <c r="D148" s="4" t="s">
        <v>27</v>
      </c>
      <c r="E148">
        <v>1236</v>
      </c>
      <c r="F148">
        <v>20</v>
      </c>
      <c r="G148">
        <v>24720</v>
      </c>
      <c r="H148">
        <v>24225.599999999999</v>
      </c>
      <c r="I148">
        <v>11865.6</v>
      </c>
      <c r="J148" s="4" t="s">
        <v>16</v>
      </c>
      <c r="K148">
        <v>2019</v>
      </c>
    </row>
    <row r="149" spans="1:11" hidden="1" x14ac:dyDescent="0.3">
      <c r="A149" s="4" t="s">
        <v>6</v>
      </c>
      <c r="B149" s="4" t="s">
        <v>14</v>
      </c>
      <c r="C149" s="4" t="s">
        <v>11</v>
      </c>
      <c r="D149" s="4" t="s">
        <v>27</v>
      </c>
      <c r="E149">
        <v>941</v>
      </c>
      <c r="F149">
        <v>20</v>
      </c>
      <c r="G149">
        <v>18820</v>
      </c>
      <c r="H149">
        <v>18443.599999999999</v>
      </c>
      <c r="I149">
        <v>9033.6</v>
      </c>
      <c r="J149" s="4" t="s">
        <v>16</v>
      </c>
      <c r="K149">
        <v>2019</v>
      </c>
    </row>
    <row r="150" spans="1:11" hidden="1" x14ac:dyDescent="0.3">
      <c r="A150" s="4" t="s">
        <v>12</v>
      </c>
      <c r="B150" s="4" t="s">
        <v>40</v>
      </c>
      <c r="C150" s="4" t="s">
        <v>11</v>
      </c>
      <c r="D150" s="4" t="s">
        <v>27</v>
      </c>
      <c r="E150">
        <v>1916</v>
      </c>
      <c r="F150">
        <v>300</v>
      </c>
      <c r="G150">
        <v>574800</v>
      </c>
      <c r="H150">
        <v>563304</v>
      </c>
      <c r="I150">
        <v>84304</v>
      </c>
      <c r="J150" s="4" t="s">
        <v>15</v>
      </c>
      <c r="K150">
        <v>2019</v>
      </c>
    </row>
    <row r="151" spans="1:11" x14ac:dyDescent="0.3">
      <c r="A151" s="4" t="s">
        <v>17</v>
      </c>
      <c r="B151" s="4" t="s">
        <v>14</v>
      </c>
      <c r="C151" s="4" t="s">
        <v>23</v>
      </c>
      <c r="D151" s="4" t="s">
        <v>27</v>
      </c>
      <c r="E151">
        <v>4243.5</v>
      </c>
      <c r="F151">
        <v>125</v>
      </c>
      <c r="G151">
        <v>530437.5</v>
      </c>
      <c r="H151">
        <v>514524.375</v>
      </c>
      <c r="I151">
        <v>5304.375</v>
      </c>
      <c r="J151" s="4" t="s">
        <v>4</v>
      </c>
      <c r="K151">
        <v>2019</v>
      </c>
    </row>
    <row r="152" spans="1:11" x14ac:dyDescent="0.3">
      <c r="A152" s="4" t="s">
        <v>6</v>
      </c>
      <c r="B152" s="4" t="s">
        <v>41</v>
      </c>
      <c r="C152" s="4" t="s">
        <v>23</v>
      </c>
      <c r="D152" s="4" t="s">
        <v>27</v>
      </c>
      <c r="E152">
        <v>2580</v>
      </c>
      <c r="F152">
        <v>20</v>
      </c>
      <c r="G152">
        <v>51600</v>
      </c>
      <c r="H152">
        <v>50052</v>
      </c>
      <c r="I152">
        <v>24252</v>
      </c>
      <c r="J152" s="4" t="s">
        <v>4</v>
      </c>
      <c r="K152">
        <v>2019</v>
      </c>
    </row>
    <row r="153" spans="1:11" x14ac:dyDescent="0.3">
      <c r="A153" s="4" t="s">
        <v>12</v>
      </c>
      <c r="B153" s="4" t="s">
        <v>41</v>
      </c>
      <c r="C153" s="4" t="s">
        <v>23</v>
      </c>
      <c r="D153" s="4" t="s">
        <v>27</v>
      </c>
      <c r="E153">
        <v>689</v>
      </c>
      <c r="F153">
        <v>300</v>
      </c>
      <c r="G153">
        <v>206700</v>
      </c>
      <c r="H153">
        <v>200499</v>
      </c>
      <c r="I153">
        <v>28249</v>
      </c>
      <c r="J153" s="4" t="s">
        <v>25</v>
      </c>
      <c r="K153">
        <v>2019</v>
      </c>
    </row>
    <row r="154" spans="1:11" hidden="1" x14ac:dyDescent="0.3">
      <c r="A154" s="4" t="s">
        <v>3</v>
      </c>
      <c r="B154" s="4" t="s">
        <v>42</v>
      </c>
      <c r="C154" s="4" t="s">
        <v>23</v>
      </c>
      <c r="D154" s="4" t="s">
        <v>27</v>
      </c>
      <c r="E154">
        <v>1947</v>
      </c>
      <c r="F154">
        <v>12</v>
      </c>
      <c r="G154">
        <v>23364</v>
      </c>
      <c r="H154">
        <v>22663.08</v>
      </c>
      <c r="I154">
        <v>16822.080000000002</v>
      </c>
      <c r="J154" s="4" t="s">
        <v>21</v>
      </c>
      <c r="K154">
        <v>2019</v>
      </c>
    </row>
    <row r="155" spans="1:11" x14ac:dyDescent="0.3">
      <c r="A155" s="4" t="s">
        <v>3</v>
      </c>
      <c r="B155" s="4" t="s">
        <v>40</v>
      </c>
      <c r="C155" s="4" t="s">
        <v>23</v>
      </c>
      <c r="D155" s="4" t="s">
        <v>27</v>
      </c>
      <c r="E155">
        <v>908</v>
      </c>
      <c r="F155">
        <v>12</v>
      </c>
      <c r="G155">
        <v>10896</v>
      </c>
      <c r="H155">
        <v>10569.12</v>
      </c>
      <c r="I155">
        <v>7845.12</v>
      </c>
      <c r="J155" s="4" t="s">
        <v>15</v>
      </c>
      <c r="K155">
        <v>2018</v>
      </c>
    </row>
    <row r="156" spans="1:11" x14ac:dyDescent="0.3">
      <c r="A156" s="4" t="s">
        <v>6</v>
      </c>
      <c r="B156" s="4" t="s">
        <v>41</v>
      </c>
      <c r="C156" s="4" t="s">
        <v>8</v>
      </c>
      <c r="D156" s="4" t="s">
        <v>27</v>
      </c>
      <c r="E156">
        <v>1958</v>
      </c>
      <c r="F156">
        <v>7</v>
      </c>
      <c r="G156">
        <v>13706</v>
      </c>
      <c r="H156">
        <v>13294.82</v>
      </c>
      <c r="I156">
        <v>3504.82</v>
      </c>
      <c r="J156" s="4" t="s">
        <v>7</v>
      </c>
      <c r="K156">
        <v>2019</v>
      </c>
    </row>
    <row r="157" spans="1:11" x14ac:dyDescent="0.3">
      <c r="A157" s="4" t="s">
        <v>3</v>
      </c>
      <c r="B157" s="4" t="s">
        <v>14</v>
      </c>
      <c r="C157" s="4" t="s">
        <v>8</v>
      </c>
      <c r="D157" s="4" t="s">
        <v>27</v>
      </c>
      <c r="E157">
        <v>1901</v>
      </c>
      <c r="F157">
        <v>12</v>
      </c>
      <c r="G157">
        <v>22812</v>
      </c>
      <c r="H157">
        <v>22127.64</v>
      </c>
      <c r="I157">
        <v>16424.64</v>
      </c>
      <c r="J157" s="4" t="s">
        <v>25</v>
      </c>
      <c r="K157">
        <v>2019</v>
      </c>
    </row>
    <row r="158" spans="1:11" x14ac:dyDescent="0.3">
      <c r="A158" s="4" t="s">
        <v>6</v>
      </c>
      <c r="B158" s="4" t="s">
        <v>14</v>
      </c>
      <c r="C158" s="4" t="s">
        <v>8</v>
      </c>
      <c r="D158" s="4" t="s">
        <v>27</v>
      </c>
      <c r="E158">
        <v>544</v>
      </c>
      <c r="F158">
        <v>7</v>
      </c>
      <c r="G158">
        <v>3808</v>
      </c>
      <c r="H158">
        <v>3693.76</v>
      </c>
      <c r="I158">
        <v>973.76</v>
      </c>
      <c r="J158" s="4" t="s">
        <v>21</v>
      </c>
      <c r="K158">
        <v>2019</v>
      </c>
    </row>
    <row r="159" spans="1:11" x14ac:dyDescent="0.3">
      <c r="A159" s="4" t="s">
        <v>6</v>
      </c>
      <c r="B159" s="4" t="s">
        <v>41</v>
      </c>
      <c r="C159" s="4" t="s">
        <v>8</v>
      </c>
      <c r="D159" s="4" t="s">
        <v>27</v>
      </c>
      <c r="E159">
        <v>1797</v>
      </c>
      <c r="F159">
        <v>350</v>
      </c>
      <c r="G159">
        <v>628950</v>
      </c>
      <c r="H159">
        <v>610081.5</v>
      </c>
      <c r="I159">
        <v>142861.5</v>
      </c>
      <c r="J159" s="4" t="s">
        <v>21</v>
      </c>
      <c r="K159">
        <v>2018</v>
      </c>
    </row>
    <row r="160" spans="1:11" x14ac:dyDescent="0.3">
      <c r="A160" s="4" t="s">
        <v>17</v>
      </c>
      <c r="B160" s="4" t="s">
        <v>14</v>
      </c>
      <c r="C160" s="4" t="s">
        <v>8</v>
      </c>
      <c r="D160" s="4" t="s">
        <v>27</v>
      </c>
      <c r="E160">
        <v>1287</v>
      </c>
      <c r="F160">
        <v>125</v>
      </c>
      <c r="G160">
        <v>160875</v>
      </c>
      <c r="H160">
        <v>156048.75</v>
      </c>
      <c r="I160">
        <v>1608.75</v>
      </c>
      <c r="J160" s="4" t="s">
        <v>15</v>
      </c>
      <c r="K160">
        <v>2019</v>
      </c>
    </row>
    <row r="161" spans="1:11" x14ac:dyDescent="0.3">
      <c r="A161" s="4" t="s">
        <v>17</v>
      </c>
      <c r="B161" s="4" t="s">
        <v>41</v>
      </c>
      <c r="C161" s="4" t="s">
        <v>8</v>
      </c>
      <c r="D161" s="4" t="s">
        <v>27</v>
      </c>
      <c r="E161">
        <v>1706</v>
      </c>
      <c r="F161">
        <v>125</v>
      </c>
      <c r="G161">
        <v>213250</v>
      </c>
      <c r="H161">
        <v>206852.5</v>
      </c>
      <c r="I161">
        <v>2132.5</v>
      </c>
      <c r="J161" s="4" t="s">
        <v>15</v>
      </c>
      <c r="K161">
        <v>2019</v>
      </c>
    </row>
    <row r="162" spans="1:11" hidden="1" x14ac:dyDescent="0.3">
      <c r="A162" s="4" t="s">
        <v>12</v>
      </c>
      <c r="B162" s="4" t="s">
        <v>14</v>
      </c>
      <c r="C162" s="4" t="s">
        <v>5</v>
      </c>
      <c r="D162" s="4" t="s">
        <v>27</v>
      </c>
      <c r="E162">
        <v>2434.5</v>
      </c>
      <c r="F162">
        <v>300</v>
      </c>
      <c r="G162">
        <v>730350</v>
      </c>
      <c r="H162">
        <v>708439.5</v>
      </c>
      <c r="I162">
        <v>99814.5</v>
      </c>
      <c r="J162" s="4" t="s">
        <v>24</v>
      </c>
      <c r="K162">
        <v>2019</v>
      </c>
    </row>
    <row r="163" spans="1:11" hidden="1" x14ac:dyDescent="0.3">
      <c r="A163" s="4" t="s">
        <v>17</v>
      </c>
      <c r="B163" s="4" t="s">
        <v>40</v>
      </c>
      <c r="C163" s="4" t="s">
        <v>5</v>
      </c>
      <c r="D163" s="4" t="s">
        <v>27</v>
      </c>
      <c r="E163">
        <v>1774</v>
      </c>
      <c r="F163">
        <v>125</v>
      </c>
      <c r="G163">
        <v>221750</v>
      </c>
      <c r="H163">
        <v>215097.5</v>
      </c>
      <c r="I163">
        <v>2217.5</v>
      </c>
      <c r="J163" s="4" t="s">
        <v>13</v>
      </c>
      <c r="K163">
        <v>2019</v>
      </c>
    </row>
    <row r="164" spans="1:11" hidden="1" x14ac:dyDescent="0.3">
      <c r="A164" s="4" t="s">
        <v>3</v>
      </c>
      <c r="B164" s="4" t="s">
        <v>14</v>
      </c>
      <c r="C164" s="4" t="s">
        <v>5</v>
      </c>
      <c r="D164" s="4" t="s">
        <v>27</v>
      </c>
      <c r="E164">
        <v>1901</v>
      </c>
      <c r="F164">
        <v>12</v>
      </c>
      <c r="G164">
        <v>22812</v>
      </c>
      <c r="H164">
        <v>22127.64</v>
      </c>
      <c r="I164">
        <v>16424.64</v>
      </c>
      <c r="J164" s="4" t="s">
        <v>25</v>
      </c>
      <c r="K164">
        <v>2019</v>
      </c>
    </row>
    <row r="165" spans="1:11" hidden="1" x14ac:dyDescent="0.3">
      <c r="A165" s="4" t="s">
        <v>12</v>
      </c>
      <c r="B165" s="4" t="s">
        <v>41</v>
      </c>
      <c r="C165" s="4" t="s">
        <v>5</v>
      </c>
      <c r="D165" s="4" t="s">
        <v>27</v>
      </c>
      <c r="E165">
        <v>689</v>
      </c>
      <c r="F165">
        <v>300</v>
      </c>
      <c r="G165">
        <v>206700</v>
      </c>
      <c r="H165">
        <v>200499</v>
      </c>
      <c r="I165">
        <v>28249</v>
      </c>
      <c r="J165" s="4" t="s">
        <v>25</v>
      </c>
      <c r="K165">
        <v>2019</v>
      </c>
    </row>
    <row r="166" spans="1:11" hidden="1" x14ac:dyDescent="0.3">
      <c r="A166" s="4" t="s">
        <v>17</v>
      </c>
      <c r="B166" s="4" t="s">
        <v>41</v>
      </c>
      <c r="C166" s="4" t="s">
        <v>5</v>
      </c>
      <c r="D166" s="4" t="s">
        <v>27</v>
      </c>
      <c r="E166">
        <v>1570</v>
      </c>
      <c r="F166">
        <v>125</v>
      </c>
      <c r="G166">
        <v>196250</v>
      </c>
      <c r="H166">
        <v>190362.5</v>
      </c>
      <c r="I166">
        <v>1962.5</v>
      </c>
      <c r="J166" s="4" t="s">
        <v>25</v>
      </c>
      <c r="K166">
        <v>2019</v>
      </c>
    </row>
    <row r="167" spans="1:11" hidden="1" x14ac:dyDescent="0.3">
      <c r="A167" s="4" t="s">
        <v>3</v>
      </c>
      <c r="B167" s="4" t="s">
        <v>42</v>
      </c>
      <c r="C167" s="4" t="s">
        <v>5</v>
      </c>
      <c r="D167" s="4" t="s">
        <v>27</v>
      </c>
      <c r="E167">
        <v>1369.5</v>
      </c>
      <c r="F167">
        <v>12</v>
      </c>
      <c r="G167">
        <v>16434</v>
      </c>
      <c r="H167">
        <v>15940.98</v>
      </c>
      <c r="I167">
        <v>11832.48</v>
      </c>
      <c r="J167" s="4" t="s">
        <v>19</v>
      </c>
      <c r="K167">
        <v>2019</v>
      </c>
    </row>
    <row r="168" spans="1:11" hidden="1" x14ac:dyDescent="0.3">
      <c r="A168" s="4" t="s">
        <v>17</v>
      </c>
      <c r="B168" s="4" t="s">
        <v>40</v>
      </c>
      <c r="C168" s="4" t="s">
        <v>5</v>
      </c>
      <c r="D168" s="4" t="s">
        <v>27</v>
      </c>
      <c r="E168">
        <v>2009</v>
      </c>
      <c r="F168">
        <v>125</v>
      </c>
      <c r="G168">
        <v>251125</v>
      </c>
      <c r="H168">
        <v>243591.25</v>
      </c>
      <c r="I168">
        <v>2511.25</v>
      </c>
      <c r="J168" s="4" t="s">
        <v>10</v>
      </c>
      <c r="K168">
        <v>2019</v>
      </c>
    </row>
    <row r="169" spans="1:11" hidden="1" x14ac:dyDescent="0.3">
      <c r="A169" s="4" t="s">
        <v>18</v>
      </c>
      <c r="B169" s="4" t="s">
        <v>41</v>
      </c>
      <c r="C169" s="4" t="s">
        <v>5</v>
      </c>
      <c r="D169" s="4" t="s">
        <v>27</v>
      </c>
      <c r="E169">
        <v>1945</v>
      </c>
      <c r="F169">
        <v>15</v>
      </c>
      <c r="G169">
        <v>29175</v>
      </c>
      <c r="H169">
        <v>28299.75</v>
      </c>
      <c r="I169">
        <v>8849.75</v>
      </c>
      <c r="J169" s="4" t="s">
        <v>10</v>
      </c>
      <c r="K169">
        <v>2018</v>
      </c>
    </row>
    <row r="170" spans="1:11" hidden="1" x14ac:dyDescent="0.3">
      <c r="A170" s="4" t="s">
        <v>17</v>
      </c>
      <c r="B170" s="4" t="s">
        <v>14</v>
      </c>
      <c r="C170" s="4" t="s">
        <v>5</v>
      </c>
      <c r="D170" s="4" t="s">
        <v>27</v>
      </c>
      <c r="E170">
        <v>1287</v>
      </c>
      <c r="F170">
        <v>125</v>
      </c>
      <c r="G170">
        <v>160875</v>
      </c>
      <c r="H170">
        <v>156048.75</v>
      </c>
      <c r="I170">
        <v>1608.75</v>
      </c>
      <c r="J170" s="4" t="s">
        <v>15</v>
      </c>
      <c r="K170">
        <v>2019</v>
      </c>
    </row>
    <row r="171" spans="1:11" hidden="1" x14ac:dyDescent="0.3">
      <c r="A171" s="4" t="s">
        <v>17</v>
      </c>
      <c r="B171" s="4" t="s">
        <v>41</v>
      </c>
      <c r="C171" s="4" t="s">
        <v>5</v>
      </c>
      <c r="D171" s="4" t="s">
        <v>27</v>
      </c>
      <c r="E171">
        <v>1706</v>
      </c>
      <c r="F171">
        <v>125</v>
      </c>
      <c r="G171">
        <v>213250</v>
      </c>
      <c r="H171">
        <v>206852.5</v>
      </c>
      <c r="I171">
        <v>2132.5</v>
      </c>
      <c r="J171" s="4" t="s">
        <v>15</v>
      </c>
      <c r="K171">
        <v>2019</v>
      </c>
    </row>
    <row r="172" spans="1:11" hidden="1" x14ac:dyDescent="0.3">
      <c r="A172" s="4" t="s">
        <v>17</v>
      </c>
      <c r="B172" s="4" t="s">
        <v>40</v>
      </c>
      <c r="C172" s="4" t="s">
        <v>20</v>
      </c>
      <c r="D172" s="4" t="s">
        <v>27</v>
      </c>
      <c r="E172">
        <v>2009</v>
      </c>
      <c r="F172">
        <v>125</v>
      </c>
      <c r="G172">
        <v>251125</v>
      </c>
      <c r="H172">
        <v>243591.25</v>
      </c>
      <c r="I172">
        <v>2511.25</v>
      </c>
      <c r="J172" s="4" t="s">
        <v>10</v>
      </c>
      <c r="K172">
        <v>2019</v>
      </c>
    </row>
    <row r="173" spans="1:11" hidden="1" x14ac:dyDescent="0.3">
      <c r="A173" s="4" t="s">
        <v>12</v>
      </c>
      <c r="B173" s="4" t="s">
        <v>42</v>
      </c>
      <c r="C173" s="4" t="s">
        <v>2</v>
      </c>
      <c r="D173" s="4" t="s">
        <v>27</v>
      </c>
      <c r="E173">
        <v>2844</v>
      </c>
      <c r="F173">
        <v>300</v>
      </c>
      <c r="G173">
        <v>853200</v>
      </c>
      <c r="H173">
        <v>827604</v>
      </c>
      <c r="I173">
        <v>116604</v>
      </c>
      <c r="J173" s="4" t="s">
        <v>7</v>
      </c>
      <c r="K173">
        <v>2019</v>
      </c>
    </row>
    <row r="174" spans="1:11" hidden="1" x14ac:dyDescent="0.3">
      <c r="A174" s="4" t="s">
        <v>3</v>
      </c>
      <c r="B174" s="4" t="s">
        <v>9</v>
      </c>
      <c r="C174" s="4" t="s">
        <v>2</v>
      </c>
      <c r="D174" s="4" t="s">
        <v>27</v>
      </c>
      <c r="E174">
        <v>1916</v>
      </c>
      <c r="F174">
        <v>12</v>
      </c>
      <c r="G174">
        <v>22992</v>
      </c>
      <c r="H174">
        <v>22302.240000000002</v>
      </c>
      <c r="I174">
        <v>16554.240000000002</v>
      </c>
      <c r="J174" s="4" t="s">
        <v>4</v>
      </c>
      <c r="K174">
        <v>2019</v>
      </c>
    </row>
    <row r="175" spans="1:11" hidden="1" x14ac:dyDescent="0.3">
      <c r="A175" s="4" t="s">
        <v>17</v>
      </c>
      <c r="B175" s="4" t="s">
        <v>41</v>
      </c>
      <c r="C175" s="4" t="s">
        <v>2</v>
      </c>
      <c r="D175" s="4" t="s">
        <v>27</v>
      </c>
      <c r="E175">
        <v>1570</v>
      </c>
      <c r="F175">
        <v>125</v>
      </c>
      <c r="G175">
        <v>196250</v>
      </c>
      <c r="H175">
        <v>190362.5</v>
      </c>
      <c r="I175">
        <v>1962.5</v>
      </c>
      <c r="J175" s="4" t="s">
        <v>25</v>
      </c>
      <c r="K175">
        <v>2019</v>
      </c>
    </row>
    <row r="176" spans="1:11" hidden="1" x14ac:dyDescent="0.3">
      <c r="A176" s="4" t="s">
        <v>12</v>
      </c>
      <c r="B176" s="4" t="s">
        <v>40</v>
      </c>
      <c r="C176" s="4" t="s">
        <v>2</v>
      </c>
      <c r="D176" s="4" t="s">
        <v>27</v>
      </c>
      <c r="E176">
        <v>1874</v>
      </c>
      <c r="F176">
        <v>300</v>
      </c>
      <c r="G176">
        <v>562200</v>
      </c>
      <c r="H176">
        <v>545334</v>
      </c>
      <c r="I176">
        <v>76834</v>
      </c>
      <c r="J176" s="4" t="s">
        <v>22</v>
      </c>
      <c r="K176">
        <v>2019</v>
      </c>
    </row>
    <row r="177" spans="1:11" hidden="1" x14ac:dyDescent="0.3">
      <c r="A177" s="4" t="s">
        <v>6</v>
      </c>
      <c r="B177" s="4" t="s">
        <v>9</v>
      </c>
      <c r="C177" s="4" t="s">
        <v>2</v>
      </c>
      <c r="D177" s="4" t="s">
        <v>27</v>
      </c>
      <c r="E177">
        <v>1642</v>
      </c>
      <c r="F177">
        <v>350</v>
      </c>
      <c r="G177">
        <v>574700</v>
      </c>
      <c r="H177">
        <v>557459</v>
      </c>
      <c r="I177">
        <v>130539</v>
      </c>
      <c r="J177" s="4" t="s">
        <v>22</v>
      </c>
      <c r="K177">
        <v>2019</v>
      </c>
    </row>
    <row r="178" spans="1:11" hidden="1" x14ac:dyDescent="0.3">
      <c r="A178" s="4" t="s">
        <v>18</v>
      </c>
      <c r="B178" s="4" t="s">
        <v>41</v>
      </c>
      <c r="C178" s="4" t="s">
        <v>2</v>
      </c>
      <c r="D178" s="4" t="s">
        <v>27</v>
      </c>
      <c r="E178">
        <v>1945</v>
      </c>
      <c r="F178">
        <v>15</v>
      </c>
      <c r="G178">
        <v>29175</v>
      </c>
      <c r="H178">
        <v>28299.75</v>
      </c>
      <c r="I178">
        <v>8849.75</v>
      </c>
      <c r="J178" s="4" t="s">
        <v>10</v>
      </c>
      <c r="K178">
        <v>2018</v>
      </c>
    </row>
    <row r="179" spans="1:11" x14ac:dyDescent="0.3">
      <c r="A179" s="4" t="s">
        <v>6</v>
      </c>
      <c r="B179" s="4" t="s">
        <v>40</v>
      </c>
      <c r="C179" s="4" t="s">
        <v>23</v>
      </c>
      <c r="D179" s="4" t="s">
        <v>27</v>
      </c>
      <c r="E179">
        <v>831</v>
      </c>
      <c r="F179">
        <v>20</v>
      </c>
      <c r="G179">
        <v>16620</v>
      </c>
      <c r="H179">
        <v>16121.4</v>
      </c>
      <c r="I179">
        <v>7811.4</v>
      </c>
      <c r="J179" s="4" t="s">
        <v>0</v>
      </c>
      <c r="K179">
        <v>2019</v>
      </c>
    </row>
    <row r="180" spans="1:11" hidden="1" x14ac:dyDescent="0.3">
      <c r="A180" s="4" t="s">
        <v>6</v>
      </c>
      <c r="B180" s="4" t="s">
        <v>9</v>
      </c>
      <c r="C180" s="4" t="s">
        <v>5</v>
      </c>
      <c r="D180" s="4" t="s">
        <v>27</v>
      </c>
      <c r="E180">
        <v>1760</v>
      </c>
      <c r="F180">
        <v>7</v>
      </c>
      <c r="G180">
        <v>12320</v>
      </c>
      <c r="H180">
        <v>11950.4</v>
      </c>
      <c r="I180">
        <v>3150.4</v>
      </c>
      <c r="J180" s="4" t="s">
        <v>21</v>
      </c>
      <c r="K180">
        <v>2018</v>
      </c>
    </row>
    <row r="181" spans="1:11" hidden="1" x14ac:dyDescent="0.3">
      <c r="A181" s="4" t="s">
        <v>6</v>
      </c>
      <c r="B181" s="4" t="s">
        <v>40</v>
      </c>
      <c r="C181" s="4" t="s">
        <v>20</v>
      </c>
      <c r="D181" s="4" t="s">
        <v>27</v>
      </c>
      <c r="E181">
        <v>3850.5</v>
      </c>
      <c r="F181">
        <v>20</v>
      </c>
      <c r="G181">
        <v>77010</v>
      </c>
      <c r="H181">
        <v>74699.7</v>
      </c>
      <c r="I181">
        <v>36194.699999999997</v>
      </c>
      <c r="J181" s="4" t="s">
        <v>4</v>
      </c>
      <c r="K181">
        <v>2019</v>
      </c>
    </row>
    <row r="182" spans="1:11" hidden="1" x14ac:dyDescent="0.3">
      <c r="A182" s="4" t="s">
        <v>3</v>
      </c>
      <c r="B182" s="4" t="s">
        <v>41</v>
      </c>
      <c r="C182" s="4" t="s">
        <v>2</v>
      </c>
      <c r="D182" s="4" t="s">
        <v>27</v>
      </c>
      <c r="E182">
        <v>2479</v>
      </c>
      <c r="F182">
        <v>12</v>
      </c>
      <c r="G182">
        <v>29748</v>
      </c>
      <c r="H182">
        <v>28855.56</v>
      </c>
      <c r="I182">
        <v>21418.560000000001</v>
      </c>
      <c r="J182" s="4" t="s">
        <v>24</v>
      </c>
      <c r="K182">
        <v>2019</v>
      </c>
    </row>
    <row r="183" spans="1:11" hidden="1" x14ac:dyDescent="0.3">
      <c r="A183" s="4" t="s">
        <v>18</v>
      </c>
      <c r="B183" s="4" t="s">
        <v>9</v>
      </c>
      <c r="C183" s="4" t="s">
        <v>8</v>
      </c>
      <c r="D183" s="4" t="s">
        <v>27</v>
      </c>
      <c r="E183">
        <v>2031</v>
      </c>
      <c r="F183">
        <v>15</v>
      </c>
      <c r="G183">
        <v>30465</v>
      </c>
      <c r="H183">
        <v>29246.400000000001</v>
      </c>
      <c r="I183">
        <v>8936.4</v>
      </c>
      <c r="J183" s="4" t="s">
        <v>10</v>
      </c>
      <c r="K183">
        <v>2019</v>
      </c>
    </row>
    <row r="184" spans="1:11" hidden="1" x14ac:dyDescent="0.3">
      <c r="A184" s="4" t="s">
        <v>18</v>
      </c>
      <c r="B184" s="4" t="s">
        <v>9</v>
      </c>
      <c r="C184" s="4" t="s">
        <v>5</v>
      </c>
      <c r="D184" s="4" t="s">
        <v>27</v>
      </c>
      <c r="E184">
        <v>2031</v>
      </c>
      <c r="F184">
        <v>15</v>
      </c>
      <c r="G184">
        <v>30465</v>
      </c>
      <c r="H184">
        <v>29246.400000000001</v>
      </c>
      <c r="I184">
        <v>8936.4</v>
      </c>
      <c r="J184" s="4" t="s">
        <v>10</v>
      </c>
      <c r="K184">
        <v>2019</v>
      </c>
    </row>
    <row r="185" spans="1:11" hidden="1" x14ac:dyDescent="0.3">
      <c r="A185" s="4" t="s">
        <v>18</v>
      </c>
      <c r="B185" s="4" t="s">
        <v>14</v>
      </c>
      <c r="C185" s="4" t="s">
        <v>5</v>
      </c>
      <c r="D185" s="4" t="s">
        <v>27</v>
      </c>
      <c r="E185">
        <v>2261</v>
      </c>
      <c r="F185">
        <v>15</v>
      </c>
      <c r="G185">
        <v>33915</v>
      </c>
      <c r="H185">
        <v>32558.400000000001</v>
      </c>
      <c r="I185">
        <v>9948.4</v>
      </c>
      <c r="J185" s="4" t="s">
        <v>15</v>
      </c>
      <c r="K185">
        <v>2018</v>
      </c>
    </row>
    <row r="186" spans="1:11" hidden="1" x14ac:dyDescent="0.3">
      <c r="A186" s="4" t="s">
        <v>6</v>
      </c>
      <c r="B186" s="4" t="s">
        <v>42</v>
      </c>
      <c r="C186" s="4" t="s">
        <v>20</v>
      </c>
      <c r="D186" s="4" t="s">
        <v>27</v>
      </c>
      <c r="E186">
        <v>736</v>
      </c>
      <c r="F186">
        <v>20</v>
      </c>
      <c r="G186">
        <v>14720</v>
      </c>
      <c r="H186">
        <v>14131.2</v>
      </c>
      <c r="I186">
        <v>6771.2</v>
      </c>
      <c r="J186" s="4" t="s">
        <v>21</v>
      </c>
      <c r="K186">
        <v>2018</v>
      </c>
    </row>
    <row r="187" spans="1:11" x14ac:dyDescent="0.3">
      <c r="A187" s="4" t="s">
        <v>6</v>
      </c>
      <c r="B187" s="4" t="s">
        <v>40</v>
      </c>
      <c r="C187" s="4" t="s">
        <v>23</v>
      </c>
      <c r="D187" s="4" t="s">
        <v>27</v>
      </c>
      <c r="E187">
        <v>2851</v>
      </c>
      <c r="F187">
        <v>7</v>
      </c>
      <c r="G187">
        <v>19957</v>
      </c>
      <c r="H187">
        <v>19158.72</v>
      </c>
      <c r="I187">
        <v>4903.72</v>
      </c>
      <c r="J187" s="4" t="s">
        <v>10</v>
      </c>
      <c r="K187">
        <v>2018</v>
      </c>
    </row>
    <row r="188" spans="1:11" x14ac:dyDescent="0.3">
      <c r="A188" s="4" t="s">
        <v>12</v>
      </c>
      <c r="B188" s="4" t="s">
        <v>41</v>
      </c>
      <c r="C188" s="4" t="s">
        <v>23</v>
      </c>
      <c r="D188" s="4" t="s">
        <v>27</v>
      </c>
      <c r="E188">
        <v>2021</v>
      </c>
      <c r="F188">
        <v>300</v>
      </c>
      <c r="G188">
        <v>606300</v>
      </c>
      <c r="H188">
        <v>582048</v>
      </c>
      <c r="I188">
        <v>76798</v>
      </c>
      <c r="J188" s="4" t="s">
        <v>10</v>
      </c>
      <c r="K188">
        <v>2019</v>
      </c>
    </row>
    <row r="189" spans="1:11" hidden="1" x14ac:dyDescent="0.3">
      <c r="A189" s="4" t="s">
        <v>6</v>
      </c>
      <c r="B189" s="4" t="s">
        <v>42</v>
      </c>
      <c r="C189" s="4" t="s">
        <v>23</v>
      </c>
      <c r="D189" s="4" t="s">
        <v>27</v>
      </c>
      <c r="E189">
        <v>274</v>
      </c>
      <c r="F189">
        <v>350</v>
      </c>
      <c r="G189">
        <v>95900</v>
      </c>
      <c r="H189">
        <v>92064</v>
      </c>
      <c r="I189">
        <v>20824</v>
      </c>
      <c r="J189" s="4" t="s">
        <v>15</v>
      </c>
      <c r="K189">
        <v>2019</v>
      </c>
    </row>
    <row r="190" spans="1:11" x14ac:dyDescent="0.3">
      <c r="A190" s="4" t="s">
        <v>18</v>
      </c>
      <c r="B190" s="4" t="s">
        <v>40</v>
      </c>
      <c r="C190" s="4" t="s">
        <v>8</v>
      </c>
      <c r="D190" s="4" t="s">
        <v>27</v>
      </c>
      <c r="E190">
        <v>1967</v>
      </c>
      <c r="F190">
        <v>15</v>
      </c>
      <c r="G190">
        <v>29505</v>
      </c>
      <c r="H190">
        <v>28324.799999999999</v>
      </c>
      <c r="I190">
        <v>8654.7999999999993</v>
      </c>
      <c r="J190" s="4" t="s">
        <v>13</v>
      </c>
      <c r="K190">
        <v>2019</v>
      </c>
    </row>
    <row r="191" spans="1:11" x14ac:dyDescent="0.3">
      <c r="A191" s="4" t="s">
        <v>12</v>
      </c>
      <c r="B191" s="4" t="s">
        <v>41</v>
      </c>
      <c r="C191" s="4" t="s">
        <v>8</v>
      </c>
      <c r="D191" s="4" t="s">
        <v>27</v>
      </c>
      <c r="E191">
        <v>1859</v>
      </c>
      <c r="F191">
        <v>300</v>
      </c>
      <c r="G191">
        <v>557700</v>
      </c>
      <c r="H191">
        <v>535392</v>
      </c>
      <c r="I191">
        <v>70642</v>
      </c>
      <c r="J191" s="4" t="s">
        <v>22</v>
      </c>
      <c r="K191">
        <v>2019</v>
      </c>
    </row>
    <row r="192" spans="1:11" x14ac:dyDescent="0.3">
      <c r="A192" s="4" t="s">
        <v>6</v>
      </c>
      <c r="B192" s="4" t="s">
        <v>40</v>
      </c>
      <c r="C192" s="4" t="s">
        <v>8</v>
      </c>
      <c r="D192" s="4" t="s">
        <v>27</v>
      </c>
      <c r="E192">
        <v>2851</v>
      </c>
      <c r="F192">
        <v>7</v>
      </c>
      <c r="G192">
        <v>19957</v>
      </c>
      <c r="H192">
        <v>19158.72</v>
      </c>
      <c r="I192">
        <v>4903.72</v>
      </c>
      <c r="J192" s="4" t="s">
        <v>10</v>
      </c>
      <c r="K192">
        <v>2018</v>
      </c>
    </row>
    <row r="193" spans="1:11" x14ac:dyDescent="0.3">
      <c r="A193" s="4" t="s">
        <v>12</v>
      </c>
      <c r="B193" s="4" t="s">
        <v>41</v>
      </c>
      <c r="C193" s="4" t="s">
        <v>8</v>
      </c>
      <c r="D193" s="4" t="s">
        <v>27</v>
      </c>
      <c r="E193">
        <v>2021</v>
      </c>
      <c r="F193">
        <v>300</v>
      </c>
      <c r="G193">
        <v>606300</v>
      </c>
      <c r="H193">
        <v>582048</v>
      </c>
      <c r="I193">
        <v>76798</v>
      </c>
      <c r="J193" s="4" t="s">
        <v>10</v>
      </c>
      <c r="K193">
        <v>2019</v>
      </c>
    </row>
    <row r="194" spans="1:11" hidden="1" x14ac:dyDescent="0.3">
      <c r="A194" s="4" t="s">
        <v>17</v>
      </c>
      <c r="B194" s="4" t="s">
        <v>9</v>
      </c>
      <c r="C194" s="4" t="s">
        <v>8</v>
      </c>
      <c r="D194" s="4" t="s">
        <v>27</v>
      </c>
      <c r="E194">
        <v>1138</v>
      </c>
      <c r="F194">
        <v>125</v>
      </c>
      <c r="G194">
        <v>142250</v>
      </c>
      <c r="H194">
        <v>136560</v>
      </c>
      <c r="I194">
        <v>0</v>
      </c>
      <c r="J194" s="4" t="s">
        <v>15</v>
      </c>
      <c r="K194">
        <v>2019</v>
      </c>
    </row>
    <row r="195" spans="1:11" hidden="1" x14ac:dyDescent="0.3">
      <c r="A195" s="4" t="s">
        <v>6</v>
      </c>
      <c r="B195" s="4" t="s">
        <v>40</v>
      </c>
      <c r="C195" s="4" t="s">
        <v>5</v>
      </c>
      <c r="D195" s="4" t="s">
        <v>27</v>
      </c>
      <c r="E195">
        <v>4251</v>
      </c>
      <c r="F195">
        <v>7</v>
      </c>
      <c r="G195">
        <v>29757</v>
      </c>
      <c r="H195">
        <v>28566.720000000001</v>
      </c>
      <c r="I195">
        <v>7311.72</v>
      </c>
      <c r="J195" s="4" t="s">
        <v>24</v>
      </c>
      <c r="K195">
        <v>2019</v>
      </c>
    </row>
    <row r="196" spans="1:11" hidden="1" x14ac:dyDescent="0.3">
      <c r="A196" s="4" t="s">
        <v>17</v>
      </c>
      <c r="B196" s="4" t="s">
        <v>41</v>
      </c>
      <c r="C196" s="4" t="s">
        <v>5</v>
      </c>
      <c r="D196" s="4" t="s">
        <v>27</v>
      </c>
      <c r="E196">
        <v>795</v>
      </c>
      <c r="F196">
        <v>125</v>
      </c>
      <c r="G196">
        <v>99375</v>
      </c>
      <c r="H196">
        <v>95400</v>
      </c>
      <c r="I196">
        <v>0</v>
      </c>
      <c r="J196" s="4" t="s">
        <v>13</v>
      </c>
      <c r="K196">
        <v>2019</v>
      </c>
    </row>
    <row r="197" spans="1:11" hidden="1" x14ac:dyDescent="0.3">
      <c r="A197" s="4" t="s">
        <v>12</v>
      </c>
      <c r="B197" s="4" t="s">
        <v>41</v>
      </c>
      <c r="C197" s="4" t="s">
        <v>5</v>
      </c>
      <c r="D197" s="4" t="s">
        <v>27</v>
      </c>
      <c r="E197">
        <v>1414.5</v>
      </c>
      <c r="F197">
        <v>300</v>
      </c>
      <c r="G197">
        <v>424350</v>
      </c>
      <c r="H197">
        <v>407376</v>
      </c>
      <c r="I197">
        <v>53751</v>
      </c>
      <c r="J197" s="4" t="s">
        <v>4</v>
      </c>
      <c r="K197">
        <v>2019</v>
      </c>
    </row>
    <row r="198" spans="1:11" hidden="1" x14ac:dyDescent="0.3">
      <c r="A198" s="4" t="s">
        <v>12</v>
      </c>
      <c r="B198" s="4" t="s">
        <v>42</v>
      </c>
      <c r="C198" s="4" t="s">
        <v>5</v>
      </c>
      <c r="D198" s="4" t="s">
        <v>27</v>
      </c>
      <c r="E198">
        <v>2918</v>
      </c>
      <c r="F198">
        <v>300</v>
      </c>
      <c r="G198">
        <v>875400</v>
      </c>
      <c r="H198">
        <v>840384</v>
      </c>
      <c r="I198">
        <v>110884</v>
      </c>
      <c r="J198" s="4" t="s">
        <v>0</v>
      </c>
      <c r="K198">
        <v>2019</v>
      </c>
    </row>
    <row r="199" spans="1:11" hidden="1" x14ac:dyDescent="0.3">
      <c r="A199" s="4" t="s">
        <v>6</v>
      </c>
      <c r="B199" s="4" t="s">
        <v>42</v>
      </c>
      <c r="C199" s="4" t="s">
        <v>5</v>
      </c>
      <c r="D199" s="4" t="s">
        <v>27</v>
      </c>
      <c r="E199">
        <v>3450</v>
      </c>
      <c r="F199">
        <v>350</v>
      </c>
      <c r="G199">
        <v>1207500</v>
      </c>
      <c r="H199">
        <v>1159200</v>
      </c>
      <c r="I199">
        <v>262200</v>
      </c>
      <c r="J199" s="4" t="s">
        <v>19</v>
      </c>
      <c r="K199">
        <v>2019</v>
      </c>
    </row>
    <row r="200" spans="1:11" hidden="1" x14ac:dyDescent="0.3">
      <c r="A200" s="4" t="s">
        <v>17</v>
      </c>
      <c r="B200" s="4" t="s">
        <v>14</v>
      </c>
      <c r="C200" s="4" t="s">
        <v>5</v>
      </c>
      <c r="D200" s="4" t="s">
        <v>27</v>
      </c>
      <c r="E200">
        <v>2988</v>
      </c>
      <c r="F200">
        <v>125</v>
      </c>
      <c r="G200">
        <v>373500</v>
      </c>
      <c r="H200">
        <v>358560</v>
      </c>
      <c r="I200">
        <v>0</v>
      </c>
      <c r="J200" s="4" t="s">
        <v>19</v>
      </c>
      <c r="K200">
        <v>2019</v>
      </c>
    </row>
    <row r="201" spans="1:11" hidden="1" x14ac:dyDescent="0.3">
      <c r="A201" s="4" t="s">
        <v>18</v>
      </c>
      <c r="B201" s="4" t="s">
        <v>40</v>
      </c>
      <c r="C201" s="4" t="s">
        <v>5</v>
      </c>
      <c r="D201" s="4" t="s">
        <v>27</v>
      </c>
      <c r="E201">
        <v>218</v>
      </c>
      <c r="F201">
        <v>15</v>
      </c>
      <c r="G201">
        <v>3270</v>
      </c>
      <c r="H201">
        <v>3139.2</v>
      </c>
      <c r="I201">
        <v>959.2</v>
      </c>
      <c r="J201" s="4" t="s">
        <v>21</v>
      </c>
      <c r="K201">
        <v>2019</v>
      </c>
    </row>
    <row r="202" spans="1:11" hidden="1" x14ac:dyDescent="0.3">
      <c r="A202" s="4" t="s">
        <v>6</v>
      </c>
      <c r="B202" s="4" t="s">
        <v>40</v>
      </c>
      <c r="C202" s="4" t="s">
        <v>5</v>
      </c>
      <c r="D202" s="4" t="s">
        <v>27</v>
      </c>
      <c r="E202">
        <v>2074</v>
      </c>
      <c r="F202">
        <v>20</v>
      </c>
      <c r="G202">
        <v>41480</v>
      </c>
      <c r="H202">
        <v>39820.800000000003</v>
      </c>
      <c r="I202">
        <v>19080.8</v>
      </c>
      <c r="J202" s="4" t="s">
        <v>21</v>
      </c>
      <c r="K202">
        <v>2019</v>
      </c>
    </row>
    <row r="203" spans="1:11" hidden="1" x14ac:dyDescent="0.3">
      <c r="A203" s="4" t="s">
        <v>6</v>
      </c>
      <c r="B203" s="4" t="s">
        <v>42</v>
      </c>
      <c r="C203" s="4" t="s">
        <v>5</v>
      </c>
      <c r="D203" s="4" t="s">
        <v>27</v>
      </c>
      <c r="E203">
        <v>1056</v>
      </c>
      <c r="F203">
        <v>20</v>
      </c>
      <c r="G203">
        <v>21120</v>
      </c>
      <c r="H203">
        <v>20275.2</v>
      </c>
      <c r="I203">
        <v>9715.2000000000007</v>
      </c>
      <c r="J203" s="4" t="s">
        <v>21</v>
      </c>
      <c r="K203">
        <v>2019</v>
      </c>
    </row>
    <row r="204" spans="1:11" hidden="1" x14ac:dyDescent="0.3">
      <c r="A204" s="4" t="s">
        <v>18</v>
      </c>
      <c r="B204" s="4" t="s">
        <v>42</v>
      </c>
      <c r="C204" s="4" t="s">
        <v>5</v>
      </c>
      <c r="D204" s="4" t="s">
        <v>27</v>
      </c>
      <c r="E204">
        <v>671</v>
      </c>
      <c r="F204">
        <v>15</v>
      </c>
      <c r="G204">
        <v>10065</v>
      </c>
      <c r="H204">
        <v>9662.4</v>
      </c>
      <c r="I204">
        <v>2952.4</v>
      </c>
      <c r="J204" s="4" t="s">
        <v>10</v>
      </c>
      <c r="K204">
        <v>2018</v>
      </c>
    </row>
    <row r="205" spans="1:11" hidden="1" x14ac:dyDescent="0.3">
      <c r="A205" s="4" t="s">
        <v>18</v>
      </c>
      <c r="B205" s="4" t="s">
        <v>9</v>
      </c>
      <c r="C205" s="4" t="s">
        <v>5</v>
      </c>
      <c r="D205" s="4" t="s">
        <v>27</v>
      </c>
      <c r="E205">
        <v>1514</v>
      </c>
      <c r="F205">
        <v>15</v>
      </c>
      <c r="G205">
        <v>22710</v>
      </c>
      <c r="H205">
        <v>21801.599999999999</v>
      </c>
      <c r="I205">
        <v>6661.6</v>
      </c>
      <c r="J205" s="4" t="s">
        <v>10</v>
      </c>
      <c r="K205">
        <v>2018</v>
      </c>
    </row>
    <row r="206" spans="1:11" hidden="1" x14ac:dyDescent="0.3">
      <c r="A206" s="4" t="s">
        <v>6</v>
      </c>
      <c r="B206" s="4" t="s">
        <v>42</v>
      </c>
      <c r="C206" s="4" t="s">
        <v>5</v>
      </c>
      <c r="D206" s="4" t="s">
        <v>27</v>
      </c>
      <c r="E206">
        <v>274</v>
      </c>
      <c r="F206">
        <v>350</v>
      </c>
      <c r="G206">
        <v>95900</v>
      </c>
      <c r="H206">
        <v>92064</v>
      </c>
      <c r="I206">
        <v>20824</v>
      </c>
      <c r="J206" s="4" t="s">
        <v>15</v>
      </c>
      <c r="K206">
        <v>2019</v>
      </c>
    </row>
    <row r="207" spans="1:11" hidden="1" x14ac:dyDescent="0.3">
      <c r="A207" s="4" t="s">
        <v>17</v>
      </c>
      <c r="B207" s="4" t="s">
        <v>9</v>
      </c>
      <c r="C207" s="4" t="s">
        <v>5</v>
      </c>
      <c r="D207" s="4" t="s">
        <v>27</v>
      </c>
      <c r="E207">
        <v>1138</v>
      </c>
      <c r="F207">
        <v>125</v>
      </c>
      <c r="G207">
        <v>142250</v>
      </c>
      <c r="H207">
        <v>136560</v>
      </c>
      <c r="I207">
        <v>0</v>
      </c>
      <c r="J207" s="4" t="s">
        <v>15</v>
      </c>
      <c r="K207">
        <v>2019</v>
      </c>
    </row>
    <row r="208" spans="1:11" hidden="1" x14ac:dyDescent="0.3">
      <c r="A208" s="4" t="s">
        <v>3</v>
      </c>
      <c r="B208" s="4" t="s">
        <v>42</v>
      </c>
      <c r="C208" s="4" t="s">
        <v>20</v>
      </c>
      <c r="D208" s="4" t="s">
        <v>27</v>
      </c>
      <c r="E208">
        <v>1465</v>
      </c>
      <c r="F208">
        <v>12</v>
      </c>
      <c r="G208">
        <v>17580</v>
      </c>
      <c r="H208">
        <v>16876.8</v>
      </c>
      <c r="I208">
        <v>12481.8</v>
      </c>
      <c r="J208" s="4" t="s">
        <v>13</v>
      </c>
      <c r="K208">
        <v>2019</v>
      </c>
    </row>
    <row r="209" spans="1:11" hidden="1" x14ac:dyDescent="0.3">
      <c r="A209" s="4" t="s">
        <v>6</v>
      </c>
      <c r="B209" s="4" t="s">
        <v>40</v>
      </c>
      <c r="C209" s="4" t="s">
        <v>20</v>
      </c>
      <c r="D209" s="4" t="s">
        <v>27</v>
      </c>
      <c r="E209">
        <v>2646</v>
      </c>
      <c r="F209">
        <v>20</v>
      </c>
      <c r="G209">
        <v>52920</v>
      </c>
      <c r="H209">
        <v>50803.199999999997</v>
      </c>
      <c r="I209">
        <v>24343.200000000001</v>
      </c>
      <c r="J209" s="4" t="s">
        <v>21</v>
      </c>
      <c r="K209">
        <v>2018</v>
      </c>
    </row>
    <row r="210" spans="1:11" hidden="1" x14ac:dyDescent="0.3">
      <c r="A210" s="4" t="s">
        <v>6</v>
      </c>
      <c r="B210" s="4" t="s">
        <v>14</v>
      </c>
      <c r="C210" s="4" t="s">
        <v>20</v>
      </c>
      <c r="D210" s="4" t="s">
        <v>27</v>
      </c>
      <c r="E210">
        <v>2177</v>
      </c>
      <c r="F210">
        <v>350</v>
      </c>
      <c r="G210">
        <v>761950</v>
      </c>
      <c r="H210">
        <v>731472</v>
      </c>
      <c r="I210">
        <v>165452</v>
      </c>
      <c r="J210" s="4" t="s">
        <v>10</v>
      </c>
      <c r="K210">
        <v>2019</v>
      </c>
    </row>
    <row r="211" spans="1:11" hidden="1" x14ac:dyDescent="0.3">
      <c r="A211" s="4" t="s">
        <v>3</v>
      </c>
      <c r="B211" s="4" t="s">
        <v>14</v>
      </c>
      <c r="C211" s="4" t="s">
        <v>2</v>
      </c>
      <c r="D211" s="4" t="s">
        <v>27</v>
      </c>
      <c r="E211">
        <v>866</v>
      </c>
      <c r="F211">
        <v>12</v>
      </c>
      <c r="G211">
        <v>10392</v>
      </c>
      <c r="H211">
        <v>9976.32</v>
      </c>
      <c r="I211">
        <v>7378.32</v>
      </c>
      <c r="J211" s="4" t="s">
        <v>0</v>
      </c>
      <c r="K211">
        <v>2019</v>
      </c>
    </row>
    <row r="212" spans="1:11" hidden="1" x14ac:dyDescent="0.3">
      <c r="A212" s="4" t="s">
        <v>6</v>
      </c>
      <c r="B212" s="4" t="s">
        <v>42</v>
      </c>
      <c r="C212" s="4" t="s">
        <v>2</v>
      </c>
      <c r="D212" s="4" t="s">
        <v>27</v>
      </c>
      <c r="E212">
        <v>349</v>
      </c>
      <c r="F212">
        <v>350</v>
      </c>
      <c r="G212">
        <v>122150</v>
      </c>
      <c r="H212">
        <v>117264</v>
      </c>
      <c r="I212">
        <v>26524</v>
      </c>
      <c r="J212" s="4" t="s">
        <v>21</v>
      </c>
      <c r="K212">
        <v>2018</v>
      </c>
    </row>
    <row r="213" spans="1:11" hidden="1" x14ac:dyDescent="0.3">
      <c r="A213" s="4" t="s">
        <v>6</v>
      </c>
      <c r="B213" s="4" t="s">
        <v>14</v>
      </c>
      <c r="C213" s="4" t="s">
        <v>2</v>
      </c>
      <c r="D213" s="4" t="s">
        <v>27</v>
      </c>
      <c r="E213">
        <v>2177</v>
      </c>
      <c r="F213">
        <v>350</v>
      </c>
      <c r="G213">
        <v>761950</v>
      </c>
      <c r="H213">
        <v>731472</v>
      </c>
      <c r="I213">
        <v>165452</v>
      </c>
      <c r="J213" s="4" t="s">
        <v>10</v>
      </c>
      <c r="K213">
        <v>2019</v>
      </c>
    </row>
    <row r="214" spans="1:11" hidden="1" x14ac:dyDescent="0.3">
      <c r="A214" s="4" t="s">
        <v>18</v>
      </c>
      <c r="B214" s="4" t="s">
        <v>9</v>
      </c>
      <c r="C214" s="4" t="s">
        <v>2</v>
      </c>
      <c r="D214" s="4" t="s">
        <v>27</v>
      </c>
      <c r="E214">
        <v>1514</v>
      </c>
      <c r="F214">
        <v>15</v>
      </c>
      <c r="G214">
        <v>22710</v>
      </c>
      <c r="H214">
        <v>21801.599999999999</v>
      </c>
      <c r="I214">
        <v>6661.6</v>
      </c>
      <c r="J214" s="4" t="s">
        <v>10</v>
      </c>
      <c r="K214">
        <v>2018</v>
      </c>
    </row>
    <row r="215" spans="1:11" hidden="1" x14ac:dyDescent="0.3">
      <c r="A215" s="4" t="s">
        <v>6</v>
      </c>
      <c r="B215" s="4" t="s">
        <v>9</v>
      </c>
      <c r="C215" s="4" t="s">
        <v>11</v>
      </c>
      <c r="D215" s="4" t="s">
        <v>27</v>
      </c>
      <c r="E215">
        <v>1865</v>
      </c>
      <c r="F215">
        <v>350</v>
      </c>
      <c r="G215">
        <v>652750</v>
      </c>
      <c r="H215">
        <v>626640</v>
      </c>
      <c r="I215">
        <v>141740</v>
      </c>
      <c r="J215" s="4" t="s">
        <v>7</v>
      </c>
      <c r="K215">
        <v>2019</v>
      </c>
    </row>
    <row r="216" spans="1:11" hidden="1" x14ac:dyDescent="0.3">
      <c r="A216" s="4" t="s">
        <v>17</v>
      </c>
      <c r="B216" s="4" t="s">
        <v>9</v>
      </c>
      <c r="C216" s="4" t="s">
        <v>11</v>
      </c>
      <c r="D216" s="4" t="s">
        <v>27</v>
      </c>
      <c r="E216">
        <v>1074</v>
      </c>
      <c r="F216">
        <v>125</v>
      </c>
      <c r="G216">
        <v>134250</v>
      </c>
      <c r="H216">
        <v>128880</v>
      </c>
      <c r="I216">
        <v>0</v>
      </c>
      <c r="J216" s="4" t="s">
        <v>4</v>
      </c>
      <c r="K216">
        <v>2019</v>
      </c>
    </row>
    <row r="217" spans="1:11" hidden="1" x14ac:dyDescent="0.3">
      <c r="A217" s="4" t="s">
        <v>6</v>
      </c>
      <c r="B217" s="4" t="s">
        <v>41</v>
      </c>
      <c r="C217" s="4" t="s">
        <v>11</v>
      </c>
      <c r="D217" s="4" t="s">
        <v>27</v>
      </c>
      <c r="E217">
        <v>1907</v>
      </c>
      <c r="F217">
        <v>350</v>
      </c>
      <c r="G217">
        <v>667450</v>
      </c>
      <c r="H217">
        <v>640752</v>
      </c>
      <c r="I217">
        <v>144932</v>
      </c>
      <c r="J217" s="4" t="s">
        <v>21</v>
      </c>
      <c r="K217">
        <v>2019</v>
      </c>
    </row>
    <row r="218" spans="1:11" hidden="1" x14ac:dyDescent="0.3">
      <c r="A218" s="4" t="s">
        <v>18</v>
      </c>
      <c r="B218" s="4" t="s">
        <v>42</v>
      </c>
      <c r="C218" s="4" t="s">
        <v>11</v>
      </c>
      <c r="D218" s="4" t="s">
        <v>27</v>
      </c>
      <c r="E218">
        <v>671</v>
      </c>
      <c r="F218">
        <v>15</v>
      </c>
      <c r="G218">
        <v>10065</v>
      </c>
      <c r="H218">
        <v>9662.4</v>
      </c>
      <c r="I218">
        <v>2952.4</v>
      </c>
      <c r="J218" s="4" t="s">
        <v>10</v>
      </c>
      <c r="K218">
        <v>2018</v>
      </c>
    </row>
    <row r="219" spans="1:11" hidden="1" x14ac:dyDescent="0.3">
      <c r="A219" s="4" t="s">
        <v>6</v>
      </c>
      <c r="B219" s="4" t="s">
        <v>40</v>
      </c>
      <c r="C219" s="4" t="s">
        <v>11</v>
      </c>
      <c r="D219" s="4" t="s">
        <v>27</v>
      </c>
      <c r="E219">
        <v>1778</v>
      </c>
      <c r="F219">
        <v>350</v>
      </c>
      <c r="G219">
        <v>622300</v>
      </c>
      <c r="H219">
        <v>597408</v>
      </c>
      <c r="I219">
        <v>135128</v>
      </c>
      <c r="J219" s="4" t="s">
        <v>15</v>
      </c>
      <c r="K219">
        <v>2018</v>
      </c>
    </row>
    <row r="220" spans="1:11" x14ac:dyDescent="0.3">
      <c r="A220" s="4" t="s">
        <v>6</v>
      </c>
      <c r="B220" s="4" t="s">
        <v>41</v>
      </c>
      <c r="C220" s="4" t="s">
        <v>8</v>
      </c>
      <c r="D220" s="4" t="s">
        <v>26</v>
      </c>
      <c r="E220">
        <v>1159</v>
      </c>
      <c r="F220">
        <v>7</v>
      </c>
      <c r="G220">
        <v>8113</v>
      </c>
      <c r="H220">
        <v>7707.35</v>
      </c>
      <c r="I220">
        <v>1912.35</v>
      </c>
      <c r="J220" s="4" t="s">
        <v>10</v>
      </c>
      <c r="K220">
        <v>2018</v>
      </c>
    </row>
    <row r="221" spans="1:11" hidden="1" x14ac:dyDescent="0.3">
      <c r="A221" s="4" t="s">
        <v>6</v>
      </c>
      <c r="B221" s="4" t="s">
        <v>41</v>
      </c>
      <c r="C221" s="4" t="s">
        <v>5</v>
      </c>
      <c r="D221" s="4" t="s">
        <v>26</v>
      </c>
      <c r="E221">
        <v>1372</v>
      </c>
      <c r="F221">
        <v>7</v>
      </c>
      <c r="G221">
        <v>9604</v>
      </c>
      <c r="H221">
        <v>9123.7999999999993</v>
      </c>
      <c r="I221">
        <v>2263.8000000000002</v>
      </c>
      <c r="J221" s="4" t="s">
        <v>24</v>
      </c>
      <c r="K221">
        <v>2019</v>
      </c>
    </row>
    <row r="222" spans="1:11" hidden="1" x14ac:dyDescent="0.3">
      <c r="A222" s="4" t="s">
        <v>6</v>
      </c>
      <c r="B222" s="4" t="s">
        <v>40</v>
      </c>
      <c r="C222" s="4" t="s">
        <v>5</v>
      </c>
      <c r="D222" s="4" t="s">
        <v>26</v>
      </c>
      <c r="E222">
        <v>2349</v>
      </c>
      <c r="F222">
        <v>7</v>
      </c>
      <c r="G222">
        <v>16443</v>
      </c>
      <c r="H222">
        <v>15620.85</v>
      </c>
      <c r="I222">
        <v>3875.85</v>
      </c>
      <c r="J222" s="4" t="s">
        <v>21</v>
      </c>
      <c r="K222">
        <v>2018</v>
      </c>
    </row>
    <row r="223" spans="1:11" hidden="1" x14ac:dyDescent="0.3">
      <c r="A223" s="4" t="s">
        <v>6</v>
      </c>
      <c r="B223" s="4" t="s">
        <v>9</v>
      </c>
      <c r="C223" s="4" t="s">
        <v>5</v>
      </c>
      <c r="D223" s="4" t="s">
        <v>26</v>
      </c>
      <c r="E223">
        <v>2689</v>
      </c>
      <c r="F223">
        <v>7</v>
      </c>
      <c r="G223">
        <v>18823</v>
      </c>
      <c r="H223">
        <v>17881.849999999999</v>
      </c>
      <c r="I223">
        <v>4436.8500000000004</v>
      </c>
      <c r="J223" s="4" t="s">
        <v>10</v>
      </c>
      <c r="K223">
        <v>2019</v>
      </c>
    </row>
    <row r="224" spans="1:11" hidden="1" x14ac:dyDescent="0.3">
      <c r="A224" s="4" t="s">
        <v>3</v>
      </c>
      <c r="B224" s="4" t="s">
        <v>40</v>
      </c>
      <c r="C224" s="4" t="s">
        <v>5</v>
      </c>
      <c r="D224" s="4" t="s">
        <v>26</v>
      </c>
      <c r="E224">
        <v>2431</v>
      </c>
      <c r="F224">
        <v>12</v>
      </c>
      <c r="G224">
        <v>29172</v>
      </c>
      <c r="H224">
        <v>27713.4</v>
      </c>
      <c r="I224">
        <v>20420.400000000001</v>
      </c>
      <c r="J224" s="4" t="s">
        <v>15</v>
      </c>
      <c r="K224">
        <v>2019</v>
      </c>
    </row>
    <row r="225" spans="1:11" hidden="1" x14ac:dyDescent="0.3">
      <c r="A225" s="4" t="s">
        <v>3</v>
      </c>
      <c r="B225" s="4" t="s">
        <v>40</v>
      </c>
      <c r="C225" s="4" t="s">
        <v>20</v>
      </c>
      <c r="D225" s="4" t="s">
        <v>26</v>
      </c>
      <c r="E225">
        <v>2431</v>
      </c>
      <c r="F225">
        <v>12</v>
      </c>
      <c r="G225">
        <v>29172</v>
      </c>
      <c r="H225">
        <v>27713.4</v>
      </c>
      <c r="I225">
        <v>20420.400000000001</v>
      </c>
      <c r="J225" s="4" t="s">
        <v>15</v>
      </c>
      <c r="K225">
        <v>2019</v>
      </c>
    </row>
    <row r="226" spans="1:11" hidden="1" x14ac:dyDescent="0.3">
      <c r="A226" s="4" t="s">
        <v>6</v>
      </c>
      <c r="B226" s="4" t="s">
        <v>9</v>
      </c>
      <c r="C226" s="4" t="s">
        <v>2</v>
      </c>
      <c r="D226" s="4" t="s">
        <v>26</v>
      </c>
      <c r="E226">
        <v>2689</v>
      </c>
      <c r="F226">
        <v>7</v>
      </c>
      <c r="G226">
        <v>18823</v>
      </c>
      <c r="H226">
        <v>17881.849999999999</v>
      </c>
      <c r="I226">
        <v>4436.8500000000004</v>
      </c>
      <c r="J226" s="4" t="s">
        <v>10</v>
      </c>
      <c r="K226">
        <v>2019</v>
      </c>
    </row>
    <row r="227" spans="1:11" hidden="1" x14ac:dyDescent="0.3">
      <c r="A227" s="4" t="s">
        <v>6</v>
      </c>
      <c r="B227" s="4" t="s">
        <v>9</v>
      </c>
      <c r="C227" s="4" t="s">
        <v>11</v>
      </c>
      <c r="D227" s="4" t="s">
        <v>26</v>
      </c>
      <c r="E227">
        <v>1683</v>
      </c>
      <c r="F227">
        <v>7</v>
      </c>
      <c r="G227">
        <v>11781</v>
      </c>
      <c r="H227">
        <v>11191.95</v>
      </c>
      <c r="I227">
        <v>2776.95</v>
      </c>
      <c r="J227" s="4" t="s">
        <v>19</v>
      </c>
      <c r="K227">
        <v>2019</v>
      </c>
    </row>
    <row r="228" spans="1:11" hidden="1" x14ac:dyDescent="0.3">
      <c r="A228" s="4" t="s">
        <v>3</v>
      </c>
      <c r="B228" s="4" t="s">
        <v>9</v>
      </c>
      <c r="C228" s="4" t="s">
        <v>11</v>
      </c>
      <c r="D228" s="4" t="s">
        <v>26</v>
      </c>
      <c r="E228">
        <v>1123</v>
      </c>
      <c r="F228">
        <v>12</v>
      </c>
      <c r="G228">
        <v>13476</v>
      </c>
      <c r="H228">
        <v>12802.2</v>
      </c>
      <c r="I228">
        <v>9433.2000000000007</v>
      </c>
      <c r="J228" s="4" t="s">
        <v>22</v>
      </c>
      <c r="K228">
        <v>2019</v>
      </c>
    </row>
    <row r="229" spans="1:11" hidden="1" x14ac:dyDescent="0.3">
      <c r="A229" s="4" t="s">
        <v>6</v>
      </c>
      <c r="B229" s="4" t="s">
        <v>41</v>
      </c>
      <c r="C229" s="4" t="s">
        <v>11</v>
      </c>
      <c r="D229" s="4" t="s">
        <v>26</v>
      </c>
      <c r="E229">
        <v>1159</v>
      </c>
      <c r="F229">
        <v>7</v>
      </c>
      <c r="G229">
        <v>8113</v>
      </c>
      <c r="H229">
        <v>7707.35</v>
      </c>
      <c r="I229">
        <v>1912.35</v>
      </c>
      <c r="J229" s="4" t="s">
        <v>10</v>
      </c>
      <c r="K229">
        <v>2018</v>
      </c>
    </row>
    <row r="230" spans="1:11" x14ac:dyDescent="0.3">
      <c r="A230" s="4" t="s">
        <v>3</v>
      </c>
      <c r="B230" s="4" t="s">
        <v>14</v>
      </c>
      <c r="C230" s="4" t="s">
        <v>23</v>
      </c>
      <c r="D230" s="4" t="s">
        <v>26</v>
      </c>
      <c r="E230">
        <v>1865</v>
      </c>
      <c r="F230">
        <v>12</v>
      </c>
      <c r="G230">
        <v>22380</v>
      </c>
      <c r="H230">
        <v>21261</v>
      </c>
      <c r="I230">
        <v>15666</v>
      </c>
      <c r="J230" s="4" t="s">
        <v>7</v>
      </c>
      <c r="K230">
        <v>2019</v>
      </c>
    </row>
    <row r="231" spans="1:11" x14ac:dyDescent="0.3">
      <c r="A231" s="4" t="s">
        <v>3</v>
      </c>
      <c r="B231" s="4" t="s">
        <v>41</v>
      </c>
      <c r="C231" s="4" t="s">
        <v>23</v>
      </c>
      <c r="D231" s="4" t="s">
        <v>26</v>
      </c>
      <c r="E231">
        <v>1116</v>
      </c>
      <c r="F231">
        <v>12</v>
      </c>
      <c r="G231">
        <v>13392</v>
      </c>
      <c r="H231">
        <v>12722.4</v>
      </c>
      <c r="I231">
        <v>9374.4</v>
      </c>
      <c r="J231" s="4" t="s">
        <v>7</v>
      </c>
      <c r="K231">
        <v>2019</v>
      </c>
    </row>
    <row r="232" spans="1:11" x14ac:dyDescent="0.3">
      <c r="A232" s="4" t="s">
        <v>6</v>
      </c>
      <c r="B232" s="4" t="s">
        <v>14</v>
      </c>
      <c r="C232" s="4" t="s">
        <v>23</v>
      </c>
      <c r="D232" s="4" t="s">
        <v>26</v>
      </c>
      <c r="E232">
        <v>1563</v>
      </c>
      <c r="F232">
        <v>20</v>
      </c>
      <c r="G232">
        <v>31260</v>
      </c>
      <c r="H232">
        <v>29697</v>
      </c>
      <c r="I232">
        <v>14067</v>
      </c>
      <c r="J232" s="4" t="s">
        <v>0</v>
      </c>
      <c r="K232">
        <v>2019</v>
      </c>
    </row>
    <row r="233" spans="1:11" hidden="1" x14ac:dyDescent="0.3">
      <c r="A233" s="4" t="s">
        <v>12</v>
      </c>
      <c r="B233" s="4" t="s">
        <v>42</v>
      </c>
      <c r="C233" s="4" t="s">
        <v>23</v>
      </c>
      <c r="D233" s="4" t="s">
        <v>26</v>
      </c>
      <c r="E233">
        <v>991</v>
      </c>
      <c r="F233">
        <v>300</v>
      </c>
      <c r="G233">
        <v>297300</v>
      </c>
      <c r="H233">
        <v>282435</v>
      </c>
      <c r="I233">
        <v>34685</v>
      </c>
      <c r="J233" s="4" t="s">
        <v>25</v>
      </c>
      <c r="K233">
        <v>2019</v>
      </c>
    </row>
    <row r="234" spans="1:11" x14ac:dyDescent="0.3">
      <c r="A234" s="4" t="s">
        <v>6</v>
      </c>
      <c r="B234" s="4" t="s">
        <v>41</v>
      </c>
      <c r="C234" s="4" t="s">
        <v>23</v>
      </c>
      <c r="D234" s="4" t="s">
        <v>26</v>
      </c>
      <c r="E234">
        <v>1016</v>
      </c>
      <c r="F234">
        <v>7</v>
      </c>
      <c r="G234">
        <v>7112</v>
      </c>
      <c r="H234">
        <v>6756.4</v>
      </c>
      <c r="I234">
        <v>1676.4</v>
      </c>
      <c r="J234" s="4" t="s">
        <v>16</v>
      </c>
      <c r="K234">
        <v>2018</v>
      </c>
    </row>
    <row r="235" spans="1:11" hidden="1" x14ac:dyDescent="0.3">
      <c r="A235" s="4" t="s">
        <v>18</v>
      </c>
      <c r="B235" s="4" t="s">
        <v>9</v>
      </c>
      <c r="C235" s="4" t="s">
        <v>23</v>
      </c>
      <c r="D235" s="4" t="s">
        <v>26</v>
      </c>
      <c r="E235">
        <v>2791</v>
      </c>
      <c r="F235">
        <v>15</v>
      </c>
      <c r="G235">
        <v>41865</v>
      </c>
      <c r="H235">
        <v>39771.75</v>
      </c>
      <c r="I235">
        <v>11861.75</v>
      </c>
      <c r="J235" s="4" t="s">
        <v>16</v>
      </c>
      <c r="K235">
        <v>2019</v>
      </c>
    </row>
    <row r="236" spans="1:11" hidden="1" x14ac:dyDescent="0.3">
      <c r="A236" s="4" t="s">
        <v>6</v>
      </c>
      <c r="B236" s="4" t="s">
        <v>42</v>
      </c>
      <c r="C236" s="4" t="s">
        <v>23</v>
      </c>
      <c r="D236" s="4" t="s">
        <v>26</v>
      </c>
      <c r="E236">
        <v>570</v>
      </c>
      <c r="F236">
        <v>7</v>
      </c>
      <c r="G236">
        <v>3990</v>
      </c>
      <c r="H236">
        <v>3790.5</v>
      </c>
      <c r="I236">
        <v>940.5</v>
      </c>
      <c r="J236" s="4" t="s">
        <v>15</v>
      </c>
      <c r="K236">
        <v>2019</v>
      </c>
    </row>
    <row r="237" spans="1:11" x14ac:dyDescent="0.3">
      <c r="A237" s="4" t="s">
        <v>6</v>
      </c>
      <c r="B237" s="4" t="s">
        <v>14</v>
      </c>
      <c r="C237" s="4" t="s">
        <v>23</v>
      </c>
      <c r="D237" s="4" t="s">
        <v>26</v>
      </c>
      <c r="E237">
        <v>2487</v>
      </c>
      <c r="F237">
        <v>7</v>
      </c>
      <c r="G237">
        <v>17409</v>
      </c>
      <c r="H237">
        <v>16538.55</v>
      </c>
      <c r="I237">
        <v>4103.55</v>
      </c>
      <c r="J237" s="4" t="s">
        <v>15</v>
      </c>
      <c r="K237">
        <v>2019</v>
      </c>
    </row>
    <row r="238" spans="1:11" x14ac:dyDescent="0.3">
      <c r="A238" s="4" t="s">
        <v>6</v>
      </c>
      <c r="B238" s="4" t="s">
        <v>14</v>
      </c>
      <c r="C238" s="4" t="s">
        <v>8</v>
      </c>
      <c r="D238" s="4" t="s">
        <v>26</v>
      </c>
      <c r="E238">
        <v>1384.5</v>
      </c>
      <c r="F238">
        <v>350</v>
      </c>
      <c r="G238">
        <v>484575</v>
      </c>
      <c r="H238">
        <v>460346.25</v>
      </c>
      <c r="I238">
        <v>100376.25</v>
      </c>
      <c r="J238" s="4" t="s">
        <v>24</v>
      </c>
      <c r="K238">
        <v>2019</v>
      </c>
    </row>
    <row r="239" spans="1:11" hidden="1" x14ac:dyDescent="0.3">
      <c r="A239" s="4" t="s">
        <v>17</v>
      </c>
      <c r="B239" s="4" t="s">
        <v>42</v>
      </c>
      <c r="C239" s="4" t="s">
        <v>8</v>
      </c>
      <c r="D239" s="4" t="s">
        <v>26</v>
      </c>
      <c r="E239">
        <v>3627</v>
      </c>
      <c r="F239">
        <v>125</v>
      </c>
      <c r="G239">
        <v>453375</v>
      </c>
      <c r="H239">
        <v>430706.25</v>
      </c>
      <c r="I239">
        <v>-4533.75</v>
      </c>
      <c r="J239" s="4" t="s">
        <v>19</v>
      </c>
      <c r="K239">
        <v>2019</v>
      </c>
    </row>
    <row r="240" spans="1:11" hidden="1" x14ac:dyDescent="0.3">
      <c r="A240" s="4" t="s">
        <v>6</v>
      </c>
      <c r="B240" s="4" t="s">
        <v>9</v>
      </c>
      <c r="C240" s="4" t="s">
        <v>8</v>
      </c>
      <c r="D240" s="4" t="s">
        <v>26</v>
      </c>
      <c r="E240">
        <v>720</v>
      </c>
      <c r="F240">
        <v>350</v>
      </c>
      <c r="G240">
        <v>252000</v>
      </c>
      <c r="H240">
        <v>239400</v>
      </c>
      <c r="I240">
        <v>52200</v>
      </c>
      <c r="J240" s="4" t="s">
        <v>21</v>
      </c>
      <c r="K240">
        <v>2018</v>
      </c>
    </row>
    <row r="241" spans="1:11" x14ac:dyDescent="0.3">
      <c r="A241" s="4" t="s">
        <v>3</v>
      </c>
      <c r="B241" s="4" t="s">
        <v>41</v>
      </c>
      <c r="C241" s="4" t="s">
        <v>8</v>
      </c>
      <c r="D241" s="4" t="s">
        <v>26</v>
      </c>
      <c r="E241">
        <v>2342</v>
      </c>
      <c r="F241">
        <v>12</v>
      </c>
      <c r="G241">
        <v>28104</v>
      </c>
      <c r="H241">
        <v>26698.799999999999</v>
      </c>
      <c r="I241">
        <v>19672.8</v>
      </c>
      <c r="J241" s="4" t="s">
        <v>16</v>
      </c>
      <c r="K241">
        <v>2019</v>
      </c>
    </row>
    <row r="242" spans="1:11" hidden="1" x14ac:dyDescent="0.3">
      <c r="A242" s="4" t="s">
        <v>12</v>
      </c>
      <c r="B242" s="4" t="s">
        <v>9</v>
      </c>
      <c r="C242" s="4" t="s">
        <v>8</v>
      </c>
      <c r="D242" s="4" t="s">
        <v>26</v>
      </c>
      <c r="E242">
        <v>1100</v>
      </c>
      <c r="F242">
        <v>300</v>
      </c>
      <c r="G242">
        <v>330000</v>
      </c>
      <c r="H242">
        <v>313500</v>
      </c>
      <c r="I242">
        <v>38500</v>
      </c>
      <c r="J242" s="4" t="s">
        <v>15</v>
      </c>
      <c r="K242">
        <v>2018</v>
      </c>
    </row>
    <row r="243" spans="1:11" hidden="1" x14ac:dyDescent="0.3">
      <c r="A243" s="4" t="s">
        <v>6</v>
      </c>
      <c r="B243" s="4" t="s">
        <v>14</v>
      </c>
      <c r="C243" s="4" t="s">
        <v>5</v>
      </c>
      <c r="D243" s="4" t="s">
        <v>26</v>
      </c>
      <c r="E243">
        <v>1303</v>
      </c>
      <c r="F243">
        <v>20</v>
      </c>
      <c r="G243">
        <v>26060</v>
      </c>
      <c r="H243">
        <v>24757</v>
      </c>
      <c r="I243">
        <v>11727</v>
      </c>
      <c r="J243" s="4" t="s">
        <v>7</v>
      </c>
      <c r="K243">
        <v>2019</v>
      </c>
    </row>
    <row r="244" spans="1:11" hidden="1" x14ac:dyDescent="0.3">
      <c r="A244" s="4" t="s">
        <v>17</v>
      </c>
      <c r="B244" s="4" t="s">
        <v>42</v>
      </c>
      <c r="C244" s="4" t="s">
        <v>5</v>
      </c>
      <c r="D244" s="4" t="s">
        <v>26</v>
      </c>
      <c r="E244">
        <v>2992</v>
      </c>
      <c r="F244">
        <v>125</v>
      </c>
      <c r="G244">
        <v>374000</v>
      </c>
      <c r="H244">
        <v>355300</v>
      </c>
      <c r="I244">
        <v>-3740</v>
      </c>
      <c r="J244" s="4" t="s">
        <v>13</v>
      </c>
      <c r="K244">
        <v>2019</v>
      </c>
    </row>
    <row r="245" spans="1:11" hidden="1" x14ac:dyDescent="0.3">
      <c r="A245" s="4" t="s">
        <v>17</v>
      </c>
      <c r="B245" s="4" t="s">
        <v>14</v>
      </c>
      <c r="C245" s="4" t="s">
        <v>5</v>
      </c>
      <c r="D245" s="4" t="s">
        <v>26</v>
      </c>
      <c r="E245">
        <v>2385</v>
      </c>
      <c r="F245">
        <v>125</v>
      </c>
      <c r="G245">
        <v>298125</v>
      </c>
      <c r="H245">
        <v>283218.75</v>
      </c>
      <c r="I245">
        <v>-2981.25</v>
      </c>
      <c r="J245" s="4" t="s">
        <v>13</v>
      </c>
      <c r="K245">
        <v>2019</v>
      </c>
    </row>
    <row r="246" spans="1:11" hidden="1" x14ac:dyDescent="0.3">
      <c r="A246" s="4" t="s">
        <v>12</v>
      </c>
      <c r="B246" s="4" t="s">
        <v>9</v>
      </c>
      <c r="C246" s="4" t="s">
        <v>5</v>
      </c>
      <c r="D246" s="4" t="s">
        <v>26</v>
      </c>
      <c r="E246">
        <v>1607</v>
      </c>
      <c r="F246">
        <v>300</v>
      </c>
      <c r="G246">
        <v>482100</v>
      </c>
      <c r="H246">
        <v>457995</v>
      </c>
      <c r="I246">
        <v>56245</v>
      </c>
      <c r="J246" s="4" t="s">
        <v>4</v>
      </c>
      <c r="K246">
        <v>2019</v>
      </c>
    </row>
    <row r="247" spans="1:11" hidden="1" x14ac:dyDescent="0.3">
      <c r="A247" s="4" t="s">
        <v>6</v>
      </c>
      <c r="B247" s="4" t="s">
        <v>42</v>
      </c>
      <c r="C247" s="4" t="s">
        <v>5</v>
      </c>
      <c r="D247" s="4" t="s">
        <v>26</v>
      </c>
      <c r="E247">
        <v>2327</v>
      </c>
      <c r="F247">
        <v>7</v>
      </c>
      <c r="G247">
        <v>16289</v>
      </c>
      <c r="H247">
        <v>15474.55</v>
      </c>
      <c r="I247">
        <v>3839.55</v>
      </c>
      <c r="J247" s="4" t="s">
        <v>0</v>
      </c>
      <c r="K247">
        <v>2019</v>
      </c>
    </row>
    <row r="248" spans="1:11" hidden="1" x14ac:dyDescent="0.3">
      <c r="A248" s="4" t="s">
        <v>12</v>
      </c>
      <c r="B248" s="4" t="s">
        <v>42</v>
      </c>
      <c r="C248" s="4" t="s">
        <v>5</v>
      </c>
      <c r="D248" s="4" t="s">
        <v>26</v>
      </c>
      <c r="E248">
        <v>991</v>
      </c>
      <c r="F248">
        <v>300</v>
      </c>
      <c r="G248">
        <v>297300</v>
      </c>
      <c r="H248">
        <v>282435</v>
      </c>
      <c r="I248">
        <v>34685</v>
      </c>
      <c r="J248" s="4" t="s">
        <v>25</v>
      </c>
      <c r="K248">
        <v>2019</v>
      </c>
    </row>
    <row r="249" spans="1:11" hidden="1" x14ac:dyDescent="0.3">
      <c r="A249" s="4" t="s">
        <v>6</v>
      </c>
      <c r="B249" s="4" t="s">
        <v>42</v>
      </c>
      <c r="C249" s="4" t="s">
        <v>5</v>
      </c>
      <c r="D249" s="4" t="s">
        <v>26</v>
      </c>
      <c r="E249">
        <v>602</v>
      </c>
      <c r="F249">
        <v>350</v>
      </c>
      <c r="G249">
        <v>210700</v>
      </c>
      <c r="H249">
        <v>200165</v>
      </c>
      <c r="I249">
        <v>43645</v>
      </c>
      <c r="J249" s="4" t="s">
        <v>25</v>
      </c>
      <c r="K249">
        <v>2019</v>
      </c>
    </row>
    <row r="250" spans="1:11" hidden="1" x14ac:dyDescent="0.3">
      <c r="A250" s="4" t="s">
        <v>18</v>
      </c>
      <c r="B250" s="4" t="s">
        <v>14</v>
      </c>
      <c r="C250" s="4" t="s">
        <v>5</v>
      </c>
      <c r="D250" s="4" t="s">
        <v>26</v>
      </c>
      <c r="E250">
        <v>2620</v>
      </c>
      <c r="F250">
        <v>15</v>
      </c>
      <c r="G250">
        <v>39300</v>
      </c>
      <c r="H250">
        <v>37335</v>
      </c>
      <c r="I250">
        <v>11135</v>
      </c>
      <c r="J250" s="4" t="s">
        <v>21</v>
      </c>
      <c r="K250">
        <v>2019</v>
      </c>
    </row>
    <row r="251" spans="1:11" hidden="1" x14ac:dyDescent="0.3">
      <c r="A251" s="4" t="s">
        <v>6</v>
      </c>
      <c r="B251" s="4" t="s">
        <v>40</v>
      </c>
      <c r="C251" s="4" t="s">
        <v>5</v>
      </c>
      <c r="D251" s="4" t="s">
        <v>26</v>
      </c>
      <c r="E251">
        <v>1228</v>
      </c>
      <c r="F251">
        <v>350</v>
      </c>
      <c r="G251">
        <v>429800</v>
      </c>
      <c r="H251">
        <v>408310</v>
      </c>
      <c r="I251">
        <v>89030</v>
      </c>
      <c r="J251" s="4" t="s">
        <v>10</v>
      </c>
      <c r="K251">
        <v>2018</v>
      </c>
    </row>
    <row r="252" spans="1:11" hidden="1" x14ac:dyDescent="0.3">
      <c r="A252" s="4" t="s">
        <v>6</v>
      </c>
      <c r="B252" s="4" t="s">
        <v>40</v>
      </c>
      <c r="C252" s="4" t="s">
        <v>5</v>
      </c>
      <c r="D252" s="4" t="s">
        <v>26</v>
      </c>
      <c r="E252">
        <v>1389</v>
      </c>
      <c r="F252">
        <v>20</v>
      </c>
      <c r="G252">
        <v>27780</v>
      </c>
      <c r="H252">
        <v>26391</v>
      </c>
      <c r="I252">
        <v>12501</v>
      </c>
      <c r="J252" s="4" t="s">
        <v>10</v>
      </c>
      <c r="K252">
        <v>2018</v>
      </c>
    </row>
    <row r="253" spans="1:11" hidden="1" x14ac:dyDescent="0.3">
      <c r="A253" s="4" t="s">
        <v>17</v>
      </c>
      <c r="B253" s="4" t="s">
        <v>42</v>
      </c>
      <c r="C253" s="4" t="s">
        <v>5</v>
      </c>
      <c r="D253" s="4" t="s">
        <v>26</v>
      </c>
      <c r="E253">
        <v>861</v>
      </c>
      <c r="F253">
        <v>125</v>
      </c>
      <c r="G253">
        <v>107625</v>
      </c>
      <c r="H253">
        <v>102243.75</v>
      </c>
      <c r="I253">
        <v>-1076.25</v>
      </c>
      <c r="J253" s="4" t="s">
        <v>10</v>
      </c>
      <c r="K253">
        <v>2019</v>
      </c>
    </row>
    <row r="254" spans="1:11" hidden="1" x14ac:dyDescent="0.3">
      <c r="A254" s="4" t="s">
        <v>17</v>
      </c>
      <c r="B254" s="4" t="s">
        <v>14</v>
      </c>
      <c r="C254" s="4" t="s">
        <v>5</v>
      </c>
      <c r="D254" s="4" t="s">
        <v>26</v>
      </c>
      <c r="E254">
        <v>704</v>
      </c>
      <c r="F254">
        <v>125</v>
      </c>
      <c r="G254">
        <v>88000</v>
      </c>
      <c r="H254">
        <v>83600</v>
      </c>
      <c r="I254">
        <v>-880</v>
      </c>
      <c r="J254" s="4" t="s">
        <v>10</v>
      </c>
      <c r="K254">
        <v>2018</v>
      </c>
    </row>
    <row r="255" spans="1:11" hidden="1" x14ac:dyDescent="0.3">
      <c r="A255" s="4" t="s">
        <v>6</v>
      </c>
      <c r="B255" s="4" t="s">
        <v>40</v>
      </c>
      <c r="C255" s="4" t="s">
        <v>5</v>
      </c>
      <c r="D255" s="4" t="s">
        <v>26</v>
      </c>
      <c r="E255">
        <v>1802</v>
      </c>
      <c r="F255">
        <v>20</v>
      </c>
      <c r="G255">
        <v>36040</v>
      </c>
      <c r="H255">
        <v>34238</v>
      </c>
      <c r="I255">
        <v>16218</v>
      </c>
      <c r="J255" s="4" t="s">
        <v>15</v>
      </c>
      <c r="K255">
        <v>2018</v>
      </c>
    </row>
    <row r="256" spans="1:11" hidden="1" x14ac:dyDescent="0.3">
      <c r="A256" s="4" t="s">
        <v>6</v>
      </c>
      <c r="B256" s="4" t="s">
        <v>42</v>
      </c>
      <c r="C256" s="4" t="s">
        <v>5</v>
      </c>
      <c r="D256" s="4" t="s">
        <v>26</v>
      </c>
      <c r="E256">
        <v>2663</v>
      </c>
      <c r="F256">
        <v>20</v>
      </c>
      <c r="G256">
        <v>53260</v>
      </c>
      <c r="H256">
        <v>50597</v>
      </c>
      <c r="I256">
        <v>23967</v>
      </c>
      <c r="J256" s="4" t="s">
        <v>15</v>
      </c>
      <c r="K256">
        <v>2019</v>
      </c>
    </row>
    <row r="257" spans="1:11" hidden="1" x14ac:dyDescent="0.3">
      <c r="A257" s="4" t="s">
        <v>6</v>
      </c>
      <c r="B257" s="4" t="s">
        <v>14</v>
      </c>
      <c r="C257" s="4" t="s">
        <v>5</v>
      </c>
      <c r="D257" s="4" t="s">
        <v>26</v>
      </c>
      <c r="E257">
        <v>2136</v>
      </c>
      <c r="F257">
        <v>7</v>
      </c>
      <c r="G257">
        <v>14952</v>
      </c>
      <c r="H257">
        <v>14204.4</v>
      </c>
      <c r="I257">
        <v>3524.4</v>
      </c>
      <c r="J257" s="4" t="s">
        <v>15</v>
      </c>
      <c r="K257">
        <v>2018</v>
      </c>
    </row>
    <row r="258" spans="1:11" hidden="1" x14ac:dyDescent="0.3">
      <c r="A258" s="4" t="s">
        <v>18</v>
      </c>
      <c r="B258" s="4" t="s">
        <v>41</v>
      </c>
      <c r="C258" s="4" t="s">
        <v>5</v>
      </c>
      <c r="D258" s="4" t="s">
        <v>26</v>
      </c>
      <c r="E258">
        <v>2116</v>
      </c>
      <c r="F258">
        <v>15</v>
      </c>
      <c r="G258">
        <v>31740</v>
      </c>
      <c r="H258">
        <v>30153</v>
      </c>
      <c r="I258">
        <v>8993</v>
      </c>
      <c r="J258" s="4" t="s">
        <v>15</v>
      </c>
      <c r="K258">
        <v>2018</v>
      </c>
    </row>
    <row r="259" spans="1:11" hidden="1" x14ac:dyDescent="0.3">
      <c r="A259" s="4" t="s">
        <v>18</v>
      </c>
      <c r="B259" s="4" t="s">
        <v>42</v>
      </c>
      <c r="C259" s="4" t="s">
        <v>20</v>
      </c>
      <c r="D259" s="4" t="s">
        <v>26</v>
      </c>
      <c r="E259">
        <v>555</v>
      </c>
      <c r="F259">
        <v>15</v>
      </c>
      <c r="G259">
        <v>8325</v>
      </c>
      <c r="H259">
        <v>7908.75</v>
      </c>
      <c r="I259">
        <v>2358.75</v>
      </c>
      <c r="J259" s="4" t="s">
        <v>24</v>
      </c>
      <c r="K259">
        <v>2019</v>
      </c>
    </row>
    <row r="260" spans="1:11" hidden="1" x14ac:dyDescent="0.3">
      <c r="A260" s="4" t="s">
        <v>18</v>
      </c>
      <c r="B260" s="4" t="s">
        <v>9</v>
      </c>
      <c r="C260" s="4" t="s">
        <v>20</v>
      </c>
      <c r="D260" s="4" t="s">
        <v>26</v>
      </c>
      <c r="E260">
        <v>2861</v>
      </c>
      <c r="F260">
        <v>15</v>
      </c>
      <c r="G260">
        <v>42915</v>
      </c>
      <c r="H260">
        <v>40769.25</v>
      </c>
      <c r="I260">
        <v>12159.25</v>
      </c>
      <c r="J260" s="4" t="s">
        <v>24</v>
      </c>
      <c r="K260">
        <v>2019</v>
      </c>
    </row>
    <row r="261" spans="1:11" hidden="1" x14ac:dyDescent="0.3">
      <c r="A261" s="4" t="s">
        <v>17</v>
      </c>
      <c r="B261" s="4" t="s">
        <v>41</v>
      </c>
      <c r="C261" s="4" t="s">
        <v>20</v>
      </c>
      <c r="D261" s="4" t="s">
        <v>26</v>
      </c>
      <c r="E261">
        <v>807</v>
      </c>
      <c r="F261">
        <v>125</v>
      </c>
      <c r="G261">
        <v>100875</v>
      </c>
      <c r="H261">
        <v>95831.25</v>
      </c>
      <c r="I261">
        <v>-1008.75</v>
      </c>
      <c r="J261" s="4" t="s">
        <v>7</v>
      </c>
      <c r="K261">
        <v>2019</v>
      </c>
    </row>
    <row r="262" spans="1:11" hidden="1" x14ac:dyDescent="0.3">
      <c r="A262" s="4" t="s">
        <v>6</v>
      </c>
      <c r="B262" s="4" t="s">
        <v>42</v>
      </c>
      <c r="C262" s="4" t="s">
        <v>20</v>
      </c>
      <c r="D262" s="4" t="s">
        <v>26</v>
      </c>
      <c r="E262">
        <v>602</v>
      </c>
      <c r="F262">
        <v>350</v>
      </c>
      <c r="G262">
        <v>210700</v>
      </c>
      <c r="H262">
        <v>200165</v>
      </c>
      <c r="I262">
        <v>43645</v>
      </c>
      <c r="J262" s="4" t="s">
        <v>25</v>
      </c>
      <c r="K262">
        <v>2019</v>
      </c>
    </row>
    <row r="263" spans="1:11" hidden="1" x14ac:dyDescent="0.3">
      <c r="A263" s="4" t="s">
        <v>6</v>
      </c>
      <c r="B263" s="4" t="s">
        <v>42</v>
      </c>
      <c r="C263" s="4" t="s">
        <v>20</v>
      </c>
      <c r="D263" s="4" t="s">
        <v>26</v>
      </c>
      <c r="E263">
        <v>2832</v>
      </c>
      <c r="F263">
        <v>20</v>
      </c>
      <c r="G263">
        <v>56640</v>
      </c>
      <c r="H263">
        <v>53808</v>
      </c>
      <c r="I263">
        <v>25488</v>
      </c>
      <c r="J263" s="4" t="s">
        <v>22</v>
      </c>
      <c r="K263">
        <v>2019</v>
      </c>
    </row>
    <row r="264" spans="1:11" hidden="1" x14ac:dyDescent="0.3">
      <c r="A264" s="4" t="s">
        <v>6</v>
      </c>
      <c r="B264" s="4" t="s">
        <v>14</v>
      </c>
      <c r="C264" s="4" t="s">
        <v>20</v>
      </c>
      <c r="D264" s="4" t="s">
        <v>26</v>
      </c>
      <c r="E264">
        <v>1579</v>
      </c>
      <c r="F264">
        <v>20</v>
      </c>
      <c r="G264">
        <v>31580</v>
      </c>
      <c r="H264">
        <v>30001</v>
      </c>
      <c r="I264">
        <v>14211</v>
      </c>
      <c r="J264" s="4" t="s">
        <v>22</v>
      </c>
      <c r="K264">
        <v>2019</v>
      </c>
    </row>
    <row r="265" spans="1:11" hidden="1" x14ac:dyDescent="0.3">
      <c r="A265" s="4" t="s">
        <v>17</v>
      </c>
      <c r="B265" s="4" t="s">
        <v>42</v>
      </c>
      <c r="C265" s="4" t="s">
        <v>20</v>
      </c>
      <c r="D265" s="4" t="s">
        <v>26</v>
      </c>
      <c r="E265">
        <v>861</v>
      </c>
      <c r="F265">
        <v>125</v>
      </c>
      <c r="G265">
        <v>107625</v>
      </c>
      <c r="H265">
        <v>102243.75</v>
      </c>
      <c r="I265">
        <v>-1076.25</v>
      </c>
      <c r="J265" s="4" t="s">
        <v>10</v>
      </c>
      <c r="K265">
        <v>2019</v>
      </c>
    </row>
    <row r="266" spans="1:11" hidden="1" x14ac:dyDescent="0.3">
      <c r="A266" s="4" t="s">
        <v>17</v>
      </c>
      <c r="B266" s="4" t="s">
        <v>14</v>
      </c>
      <c r="C266" s="4" t="s">
        <v>20</v>
      </c>
      <c r="D266" s="4" t="s">
        <v>26</v>
      </c>
      <c r="E266">
        <v>704</v>
      </c>
      <c r="F266">
        <v>125</v>
      </c>
      <c r="G266">
        <v>88000</v>
      </c>
      <c r="H266">
        <v>83600</v>
      </c>
      <c r="I266">
        <v>-880</v>
      </c>
      <c r="J266" s="4" t="s">
        <v>10</v>
      </c>
      <c r="K266">
        <v>2018</v>
      </c>
    </row>
    <row r="267" spans="1:11" hidden="1" x14ac:dyDescent="0.3">
      <c r="A267" s="4" t="s">
        <v>6</v>
      </c>
      <c r="B267" s="4" t="s">
        <v>14</v>
      </c>
      <c r="C267" s="4" t="s">
        <v>20</v>
      </c>
      <c r="D267" s="4" t="s">
        <v>26</v>
      </c>
      <c r="E267">
        <v>1033</v>
      </c>
      <c r="F267">
        <v>20</v>
      </c>
      <c r="G267">
        <v>20660</v>
      </c>
      <c r="H267">
        <v>19627</v>
      </c>
      <c r="I267">
        <v>9297</v>
      </c>
      <c r="J267" s="4" t="s">
        <v>15</v>
      </c>
      <c r="K267">
        <v>2018</v>
      </c>
    </row>
    <row r="268" spans="1:11" hidden="1" x14ac:dyDescent="0.3">
      <c r="A268" s="4" t="s">
        <v>12</v>
      </c>
      <c r="B268" s="4" t="s">
        <v>41</v>
      </c>
      <c r="C268" s="4" t="s">
        <v>20</v>
      </c>
      <c r="D268" s="4" t="s">
        <v>26</v>
      </c>
      <c r="E268">
        <v>1250</v>
      </c>
      <c r="F268">
        <v>300</v>
      </c>
      <c r="G268">
        <v>375000</v>
      </c>
      <c r="H268">
        <v>356250</v>
      </c>
      <c r="I268">
        <v>43750</v>
      </c>
      <c r="J268" s="4" t="s">
        <v>15</v>
      </c>
      <c r="K268">
        <v>2019</v>
      </c>
    </row>
    <row r="269" spans="1:11" hidden="1" x14ac:dyDescent="0.3">
      <c r="A269" s="4" t="s">
        <v>6</v>
      </c>
      <c r="B269" s="4" t="s">
        <v>40</v>
      </c>
      <c r="C269" s="4" t="s">
        <v>2</v>
      </c>
      <c r="D269" s="4" t="s">
        <v>26</v>
      </c>
      <c r="E269">
        <v>1389</v>
      </c>
      <c r="F269">
        <v>20</v>
      </c>
      <c r="G269">
        <v>27780</v>
      </c>
      <c r="H269">
        <v>26391</v>
      </c>
      <c r="I269">
        <v>12501</v>
      </c>
      <c r="J269" s="4" t="s">
        <v>10</v>
      </c>
      <c r="K269">
        <v>2018</v>
      </c>
    </row>
    <row r="270" spans="1:11" hidden="1" x14ac:dyDescent="0.3">
      <c r="A270" s="4" t="s">
        <v>6</v>
      </c>
      <c r="B270" s="4" t="s">
        <v>42</v>
      </c>
      <c r="C270" s="4" t="s">
        <v>2</v>
      </c>
      <c r="D270" s="4" t="s">
        <v>26</v>
      </c>
      <c r="E270">
        <v>1265</v>
      </c>
      <c r="F270">
        <v>20</v>
      </c>
      <c r="G270">
        <v>25300</v>
      </c>
      <c r="H270">
        <v>24035</v>
      </c>
      <c r="I270">
        <v>11385</v>
      </c>
      <c r="J270" s="4" t="s">
        <v>16</v>
      </c>
      <c r="K270">
        <v>2018</v>
      </c>
    </row>
    <row r="271" spans="1:11" hidden="1" x14ac:dyDescent="0.3">
      <c r="A271" s="4" t="s">
        <v>6</v>
      </c>
      <c r="B271" s="4" t="s">
        <v>41</v>
      </c>
      <c r="C271" s="4" t="s">
        <v>2</v>
      </c>
      <c r="D271" s="4" t="s">
        <v>26</v>
      </c>
      <c r="E271">
        <v>2297</v>
      </c>
      <c r="F271">
        <v>20</v>
      </c>
      <c r="G271">
        <v>45940</v>
      </c>
      <c r="H271">
        <v>43643</v>
      </c>
      <c r="I271">
        <v>20673</v>
      </c>
      <c r="J271" s="4" t="s">
        <v>16</v>
      </c>
      <c r="K271">
        <v>2018</v>
      </c>
    </row>
    <row r="272" spans="1:11" hidden="1" x14ac:dyDescent="0.3">
      <c r="A272" s="4" t="s">
        <v>6</v>
      </c>
      <c r="B272" s="4" t="s">
        <v>42</v>
      </c>
      <c r="C272" s="4" t="s">
        <v>2</v>
      </c>
      <c r="D272" s="4" t="s">
        <v>26</v>
      </c>
      <c r="E272">
        <v>2663</v>
      </c>
      <c r="F272">
        <v>20</v>
      </c>
      <c r="G272">
        <v>53260</v>
      </c>
      <c r="H272">
        <v>50597</v>
      </c>
      <c r="I272">
        <v>23967</v>
      </c>
      <c r="J272" s="4" t="s">
        <v>15</v>
      </c>
      <c r="K272">
        <v>2019</v>
      </c>
    </row>
    <row r="273" spans="1:11" hidden="1" x14ac:dyDescent="0.3">
      <c r="A273" s="4" t="s">
        <v>6</v>
      </c>
      <c r="B273" s="4" t="s">
        <v>42</v>
      </c>
      <c r="C273" s="4" t="s">
        <v>2</v>
      </c>
      <c r="D273" s="4" t="s">
        <v>26</v>
      </c>
      <c r="E273">
        <v>570</v>
      </c>
      <c r="F273">
        <v>7</v>
      </c>
      <c r="G273">
        <v>3990</v>
      </c>
      <c r="H273">
        <v>3790.5</v>
      </c>
      <c r="I273">
        <v>940.5</v>
      </c>
      <c r="J273" s="4" t="s">
        <v>15</v>
      </c>
      <c r="K273">
        <v>2019</v>
      </c>
    </row>
    <row r="274" spans="1:11" hidden="1" x14ac:dyDescent="0.3">
      <c r="A274" s="4" t="s">
        <v>6</v>
      </c>
      <c r="B274" s="4" t="s">
        <v>14</v>
      </c>
      <c r="C274" s="4" t="s">
        <v>2</v>
      </c>
      <c r="D274" s="4" t="s">
        <v>26</v>
      </c>
      <c r="E274">
        <v>2487</v>
      </c>
      <c r="F274">
        <v>7</v>
      </c>
      <c r="G274">
        <v>17409</v>
      </c>
      <c r="H274">
        <v>16538.55</v>
      </c>
      <c r="I274">
        <v>4103.55</v>
      </c>
      <c r="J274" s="4" t="s">
        <v>15</v>
      </c>
      <c r="K274">
        <v>2019</v>
      </c>
    </row>
    <row r="275" spans="1:11" hidden="1" x14ac:dyDescent="0.3">
      <c r="A275" s="4" t="s">
        <v>6</v>
      </c>
      <c r="B275" s="4" t="s">
        <v>41</v>
      </c>
      <c r="C275" s="4" t="s">
        <v>11</v>
      </c>
      <c r="D275" s="4" t="s">
        <v>26</v>
      </c>
      <c r="E275">
        <v>1350</v>
      </c>
      <c r="F275">
        <v>350</v>
      </c>
      <c r="G275">
        <v>472500</v>
      </c>
      <c r="H275">
        <v>448875</v>
      </c>
      <c r="I275">
        <v>97875</v>
      </c>
      <c r="J275" s="4" t="s">
        <v>7</v>
      </c>
      <c r="K275">
        <v>2019</v>
      </c>
    </row>
    <row r="276" spans="1:11" hidden="1" x14ac:dyDescent="0.3">
      <c r="A276" s="4" t="s">
        <v>6</v>
      </c>
      <c r="B276" s="4" t="s">
        <v>40</v>
      </c>
      <c r="C276" s="4" t="s">
        <v>11</v>
      </c>
      <c r="D276" s="4" t="s">
        <v>26</v>
      </c>
      <c r="E276">
        <v>552</v>
      </c>
      <c r="F276">
        <v>350</v>
      </c>
      <c r="G276">
        <v>193200</v>
      </c>
      <c r="H276">
        <v>183540</v>
      </c>
      <c r="I276">
        <v>40020</v>
      </c>
      <c r="J276" s="4" t="s">
        <v>22</v>
      </c>
      <c r="K276">
        <v>2019</v>
      </c>
    </row>
    <row r="277" spans="1:11" hidden="1" x14ac:dyDescent="0.3">
      <c r="A277" s="4" t="s">
        <v>6</v>
      </c>
      <c r="B277" s="4" t="s">
        <v>40</v>
      </c>
      <c r="C277" s="4" t="s">
        <v>11</v>
      </c>
      <c r="D277" s="4" t="s">
        <v>26</v>
      </c>
      <c r="E277">
        <v>1228</v>
      </c>
      <c r="F277">
        <v>350</v>
      </c>
      <c r="G277">
        <v>429800</v>
      </c>
      <c r="H277">
        <v>408310</v>
      </c>
      <c r="I277">
        <v>89030</v>
      </c>
      <c r="J277" s="4" t="s">
        <v>10</v>
      </c>
      <c r="K277">
        <v>2018</v>
      </c>
    </row>
    <row r="278" spans="1:11" hidden="1" x14ac:dyDescent="0.3">
      <c r="A278" s="4" t="s">
        <v>12</v>
      </c>
      <c r="B278" s="4" t="s">
        <v>41</v>
      </c>
      <c r="C278" s="4" t="s">
        <v>11</v>
      </c>
      <c r="D278" s="4" t="s">
        <v>26</v>
      </c>
      <c r="E278">
        <v>1250</v>
      </c>
      <c r="F278">
        <v>300</v>
      </c>
      <c r="G278">
        <v>375000</v>
      </c>
      <c r="H278">
        <v>356250</v>
      </c>
      <c r="I278">
        <v>43750</v>
      </c>
      <c r="J278" s="4" t="s">
        <v>15</v>
      </c>
      <c r="K278">
        <v>2019</v>
      </c>
    </row>
    <row r="279" spans="1:11" hidden="1" x14ac:dyDescent="0.3">
      <c r="A279" s="4" t="s">
        <v>18</v>
      </c>
      <c r="B279" s="4" t="s">
        <v>14</v>
      </c>
      <c r="C279" s="4" t="s">
        <v>5</v>
      </c>
      <c r="D279" s="4" t="s">
        <v>26</v>
      </c>
      <c r="E279">
        <v>3801</v>
      </c>
      <c r="F279">
        <v>15</v>
      </c>
      <c r="G279">
        <v>57015</v>
      </c>
      <c r="H279">
        <v>53594.1</v>
      </c>
      <c r="I279">
        <v>15584.1</v>
      </c>
      <c r="J279" s="4" t="s">
        <v>4</v>
      </c>
      <c r="K279">
        <v>2019</v>
      </c>
    </row>
    <row r="280" spans="1:11" hidden="1" x14ac:dyDescent="0.3">
      <c r="A280" s="4" t="s">
        <v>6</v>
      </c>
      <c r="B280" s="4" t="s">
        <v>42</v>
      </c>
      <c r="C280" s="4" t="s">
        <v>23</v>
      </c>
      <c r="D280" s="4" t="s">
        <v>26</v>
      </c>
      <c r="E280">
        <v>1117.5</v>
      </c>
      <c r="F280">
        <v>20</v>
      </c>
      <c r="G280">
        <v>22350</v>
      </c>
      <c r="H280">
        <v>21009</v>
      </c>
      <c r="I280">
        <v>9834</v>
      </c>
      <c r="J280" s="4" t="s">
        <v>24</v>
      </c>
      <c r="K280">
        <v>2019</v>
      </c>
    </row>
    <row r="281" spans="1:11" x14ac:dyDescent="0.3">
      <c r="A281" s="4" t="s">
        <v>18</v>
      </c>
      <c r="B281" s="4" t="s">
        <v>40</v>
      </c>
      <c r="C281" s="4" t="s">
        <v>23</v>
      </c>
      <c r="D281" s="4" t="s">
        <v>26</v>
      </c>
      <c r="E281">
        <v>2844</v>
      </c>
      <c r="F281">
        <v>15</v>
      </c>
      <c r="G281">
        <v>42660</v>
      </c>
      <c r="H281">
        <v>40100.400000000001</v>
      </c>
      <c r="I281">
        <v>11660.4</v>
      </c>
      <c r="J281" s="4" t="s">
        <v>25</v>
      </c>
      <c r="K281">
        <v>2019</v>
      </c>
    </row>
    <row r="282" spans="1:11" hidden="1" x14ac:dyDescent="0.3">
      <c r="A282" s="4" t="s">
        <v>3</v>
      </c>
      <c r="B282" s="4" t="s">
        <v>9</v>
      </c>
      <c r="C282" s="4" t="s">
        <v>23</v>
      </c>
      <c r="D282" s="4" t="s">
        <v>26</v>
      </c>
      <c r="E282">
        <v>562</v>
      </c>
      <c r="F282">
        <v>12</v>
      </c>
      <c r="G282">
        <v>6744</v>
      </c>
      <c r="H282">
        <v>6339.36</v>
      </c>
      <c r="I282">
        <v>4653.3599999999997</v>
      </c>
      <c r="J282" s="4" t="s">
        <v>21</v>
      </c>
      <c r="K282">
        <v>2019</v>
      </c>
    </row>
    <row r="283" spans="1:11" x14ac:dyDescent="0.3">
      <c r="A283" s="4" t="s">
        <v>3</v>
      </c>
      <c r="B283" s="4" t="s">
        <v>40</v>
      </c>
      <c r="C283" s="4" t="s">
        <v>23</v>
      </c>
      <c r="D283" s="4" t="s">
        <v>26</v>
      </c>
      <c r="E283">
        <v>2299</v>
      </c>
      <c r="F283">
        <v>12</v>
      </c>
      <c r="G283">
        <v>27588</v>
      </c>
      <c r="H283">
        <v>25932.720000000001</v>
      </c>
      <c r="I283">
        <v>19035.72</v>
      </c>
      <c r="J283" s="4" t="s">
        <v>10</v>
      </c>
      <c r="K283">
        <v>2018</v>
      </c>
    </row>
    <row r="284" spans="1:11" hidden="1" x14ac:dyDescent="0.3">
      <c r="A284" s="4" t="s">
        <v>18</v>
      </c>
      <c r="B284" s="4" t="s">
        <v>42</v>
      </c>
      <c r="C284" s="4" t="s">
        <v>23</v>
      </c>
      <c r="D284" s="4" t="s">
        <v>26</v>
      </c>
      <c r="E284">
        <v>2030</v>
      </c>
      <c r="F284">
        <v>15</v>
      </c>
      <c r="G284">
        <v>30450</v>
      </c>
      <c r="H284">
        <v>28623</v>
      </c>
      <c r="I284">
        <v>8323</v>
      </c>
      <c r="J284" s="4" t="s">
        <v>16</v>
      </c>
      <c r="K284">
        <v>2019</v>
      </c>
    </row>
    <row r="285" spans="1:11" hidden="1" x14ac:dyDescent="0.3">
      <c r="A285" s="4" t="s">
        <v>6</v>
      </c>
      <c r="B285" s="4" t="s">
        <v>42</v>
      </c>
      <c r="C285" s="4" t="s">
        <v>23</v>
      </c>
      <c r="D285" s="4" t="s">
        <v>26</v>
      </c>
      <c r="E285">
        <v>263</v>
      </c>
      <c r="F285">
        <v>7</v>
      </c>
      <c r="G285">
        <v>1841</v>
      </c>
      <c r="H285">
        <v>1730.54</v>
      </c>
      <c r="I285">
        <v>415.54</v>
      </c>
      <c r="J285" s="4" t="s">
        <v>16</v>
      </c>
      <c r="K285">
        <v>2018</v>
      </c>
    </row>
    <row r="286" spans="1:11" x14ac:dyDescent="0.3">
      <c r="A286" s="4" t="s">
        <v>17</v>
      </c>
      <c r="B286" s="4" t="s">
        <v>41</v>
      </c>
      <c r="C286" s="4" t="s">
        <v>23</v>
      </c>
      <c r="D286" s="4" t="s">
        <v>26</v>
      </c>
      <c r="E286">
        <v>887</v>
      </c>
      <c r="F286">
        <v>125</v>
      </c>
      <c r="G286">
        <v>110875</v>
      </c>
      <c r="H286">
        <v>104222.5</v>
      </c>
      <c r="I286">
        <v>-2217.5</v>
      </c>
      <c r="J286" s="4" t="s">
        <v>15</v>
      </c>
      <c r="K286">
        <v>2018</v>
      </c>
    </row>
    <row r="287" spans="1:11" hidden="1" x14ac:dyDescent="0.3">
      <c r="A287" s="4" t="s">
        <v>6</v>
      </c>
      <c r="B287" s="4" t="s">
        <v>9</v>
      </c>
      <c r="C287" s="4" t="s">
        <v>8</v>
      </c>
      <c r="D287" s="4" t="s">
        <v>26</v>
      </c>
      <c r="E287">
        <v>980</v>
      </c>
      <c r="F287">
        <v>350</v>
      </c>
      <c r="G287">
        <v>343000</v>
      </c>
      <c r="H287">
        <v>322420</v>
      </c>
      <c r="I287">
        <v>67620</v>
      </c>
      <c r="J287" s="4" t="s">
        <v>4</v>
      </c>
      <c r="K287">
        <v>2019</v>
      </c>
    </row>
    <row r="288" spans="1:11" x14ac:dyDescent="0.3">
      <c r="A288" s="4" t="s">
        <v>6</v>
      </c>
      <c r="B288" s="4" t="s">
        <v>41</v>
      </c>
      <c r="C288" s="4" t="s">
        <v>8</v>
      </c>
      <c r="D288" s="4" t="s">
        <v>26</v>
      </c>
      <c r="E288">
        <v>1460</v>
      </c>
      <c r="F288">
        <v>350</v>
      </c>
      <c r="G288">
        <v>511000</v>
      </c>
      <c r="H288">
        <v>480340</v>
      </c>
      <c r="I288">
        <v>100740</v>
      </c>
      <c r="J288" s="4" t="s">
        <v>0</v>
      </c>
      <c r="K288">
        <v>2019</v>
      </c>
    </row>
    <row r="289" spans="1:11" x14ac:dyDescent="0.3">
      <c r="A289" s="4" t="s">
        <v>6</v>
      </c>
      <c r="B289" s="4" t="s">
        <v>14</v>
      </c>
      <c r="C289" s="4" t="s">
        <v>8</v>
      </c>
      <c r="D289" s="4" t="s">
        <v>26</v>
      </c>
      <c r="E289">
        <v>1403</v>
      </c>
      <c r="F289">
        <v>7</v>
      </c>
      <c r="G289">
        <v>9821</v>
      </c>
      <c r="H289">
        <v>9231.74</v>
      </c>
      <c r="I289">
        <v>2216.7399999999998</v>
      </c>
      <c r="J289" s="4" t="s">
        <v>10</v>
      </c>
      <c r="K289">
        <v>2018</v>
      </c>
    </row>
    <row r="290" spans="1:11" hidden="1" x14ac:dyDescent="0.3">
      <c r="A290" s="4" t="s">
        <v>3</v>
      </c>
      <c r="B290" s="4" t="s">
        <v>42</v>
      </c>
      <c r="C290" s="4" t="s">
        <v>8</v>
      </c>
      <c r="D290" s="4" t="s">
        <v>26</v>
      </c>
      <c r="E290">
        <v>2723</v>
      </c>
      <c r="F290">
        <v>12</v>
      </c>
      <c r="G290">
        <v>32676</v>
      </c>
      <c r="H290">
        <v>30715.439999999999</v>
      </c>
      <c r="I290">
        <v>22546.44</v>
      </c>
      <c r="J290" s="4" t="s">
        <v>16</v>
      </c>
      <c r="K290">
        <v>2019</v>
      </c>
    </row>
    <row r="291" spans="1:11" hidden="1" x14ac:dyDescent="0.3">
      <c r="A291" s="4" t="s">
        <v>6</v>
      </c>
      <c r="B291" s="4" t="s">
        <v>14</v>
      </c>
      <c r="C291" s="4" t="s">
        <v>5</v>
      </c>
      <c r="D291" s="4" t="s">
        <v>26</v>
      </c>
      <c r="E291">
        <v>1496</v>
      </c>
      <c r="F291">
        <v>350</v>
      </c>
      <c r="G291">
        <v>523600</v>
      </c>
      <c r="H291">
        <v>492184</v>
      </c>
      <c r="I291">
        <v>103224</v>
      </c>
      <c r="J291" s="4" t="s">
        <v>25</v>
      </c>
      <c r="K291">
        <v>2019</v>
      </c>
    </row>
    <row r="292" spans="1:11" hidden="1" x14ac:dyDescent="0.3">
      <c r="A292" s="4" t="s">
        <v>3</v>
      </c>
      <c r="B292" s="4" t="s">
        <v>40</v>
      </c>
      <c r="C292" s="4" t="s">
        <v>5</v>
      </c>
      <c r="D292" s="4" t="s">
        <v>26</v>
      </c>
      <c r="E292">
        <v>2299</v>
      </c>
      <c r="F292">
        <v>12</v>
      </c>
      <c r="G292">
        <v>27588</v>
      </c>
      <c r="H292">
        <v>25932.720000000001</v>
      </c>
      <c r="I292">
        <v>19035.72</v>
      </c>
      <c r="J292" s="4" t="s">
        <v>10</v>
      </c>
      <c r="K292">
        <v>2018</v>
      </c>
    </row>
    <row r="293" spans="1:11" hidden="1" x14ac:dyDescent="0.3">
      <c r="A293" s="4" t="s">
        <v>6</v>
      </c>
      <c r="B293" s="4" t="s">
        <v>42</v>
      </c>
      <c r="C293" s="4" t="s">
        <v>5</v>
      </c>
      <c r="D293" s="4" t="s">
        <v>26</v>
      </c>
      <c r="E293">
        <v>727</v>
      </c>
      <c r="F293">
        <v>350</v>
      </c>
      <c r="G293">
        <v>254450</v>
      </c>
      <c r="H293">
        <v>239183</v>
      </c>
      <c r="I293">
        <v>50163</v>
      </c>
      <c r="J293" s="4" t="s">
        <v>10</v>
      </c>
      <c r="K293">
        <v>2018</v>
      </c>
    </row>
    <row r="294" spans="1:11" hidden="1" x14ac:dyDescent="0.3">
      <c r="A294" s="4" t="s">
        <v>17</v>
      </c>
      <c r="B294" s="4" t="s">
        <v>40</v>
      </c>
      <c r="C294" s="4" t="s">
        <v>20</v>
      </c>
      <c r="D294" s="4" t="s">
        <v>26</v>
      </c>
      <c r="E294">
        <v>952</v>
      </c>
      <c r="F294">
        <v>125</v>
      </c>
      <c r="G294">
        <v>119000</v>
      </c>
      <c r="H294">
        <v>111860</v>
      </c>
      <c r="I294">
        <v>-2380</v>
      </c>
      <c r="J294" s="4" t="s">
        <v>7</v>
      </c>
      <c r="K294">
        <v>2019</v>
      </c>
    </row>
    <row r="295" spans="1:11" hidden="1" x14ac:dyDescent="0.3">
      <c r="A295" s="4" t="s">
        <v>17</v>
      </c>
      <c r="B295" s="4" t="s">
        <v>42</v>
      </c>
      <c r="C295" s="4" t="s">
        <v>20</v>
      </c>
      <c r="D295" s="4" t="s">
        <v>26</v>
      </c>
      <c r="E295">
        <v>2755</v>
      </c>
      <c r="F295">
        <v>125</v>
      </c>
      <c r="G295">
        <v>344375</v>
      </c>
      <c r="H295">
        <v>323712.5</v>
      </c>
      <c r="I295">
        <v>-6887.5</v>
      </c>
      <c r="J295" s="4" t="s">
        <v>7</v>
      </c>
      <c r="K295">
        <v>2019</v>
      </c>
    </row>
    <row r="296" spans="1:11" hidden="1" x14ac:dyDescent="0.3">
      <c r="A296" s="4" t="s">
        <v>18</v>
      </c>
      <c r="B296" s="4" t="s">
        <v>41</v>
      </c>
      <c r="C296" s="4" t="s">
        <v>20</v>
      </c>
      <c r="D296" s="4" t="s">
        <v>26</v>
      </c>
      <c r="E296">
        <v>1530</v>
      </c>
      <c r="F296">
        <v>15</v>
      </c>
      <c r="G296">
        <v>22950</v>
      </c>
      <c r="H296">
        <v>21573</v>
      </c>
      <c r="I296">
        <v>6273</v>
      </c>
      <c r="J296" s="4" t="s">
        <v>0</v>
      </c>
      <c r="K296">
        <v>2019</v>
      </c>
    </row>
    <row r="297" spans="1:11" hidden="1" x14ac:dyDescent="0.3">
      <c r="A297" s="4" t="s">
        <v>6</v>
      </c>
      <c r="B297" s="4" t="s">
        <v>14</v>
      </c>
      <c r="C297" s="4" t="s">
        <v>20</v>
      </c>
      <c r="D297" s="4" t="s">
        <v>26</v>
      </c>
      <c r="E297">
        <v>1496</v>
      </c>
      <c r="F297">
        <v>350</v>
      </c>
      <c r="G297">
        <v>523600</v>
      </c>
      <c r="H297">
        <v>492184</v>
      </c>
      <c r="I297">
        <v>103224</v>
      </c>
      <c r="J297" s="4" t="s">
        <v>25</v>
      </c>
      <c r="K297">
        <v>2019</v>
      </c>
    </row>
    <row r="298" spans="1:11" hidden="1" x14ac:dyDescent="0.3">
      <c r="A298" s="4" t="s">
        <v>6</v>
      </c>
      <c r="B298" s="4" t="s">
        <v>9</v>
      </c>
      <c r="C298" s="4" t="s">
        <v>20</v>
      </c>
      <c r="D298" s="4" t="s">
        <v>26</v>
      </c>
      <c r="E298">
        <v>1498</v>
      </c>
      <c r="F298">
        <v>7</v>
      </c>
      <c r="G298">
        <v>10486</v>
      </c>
      <c r="H298">
        <v>9856.84</v>
      </c>
      <c r="I298">
        <v>2366.84</v>
      </c>
      <c r="J298" s="4" t="s">
        <v>25</v>
      </c>
      <c r="K298">
        <v>2019</v>
      </c>
    </row>
    <row r="299" spans="1:11" hidden="1" x14ac:dyDescent="0.3">
      <c r="A299" s="4" t="s">
        <v>12</v>
      </c>
      <c r="B299" s="4" t="s">
        <v>14</v>
      </c>
      <c r="C299" s="4" t="s">
        <v>20</v>
      </c>
      <c r="D299" s="4" t="s">
        <v>26</v>
      </c>
      <c r="E299">
        <v>1221</v>
      </c>
      <c r="F299">
        <v>300</v>
      </c>
      <c r="G299">
        <v>366300</v>
      </c>
      <c r="H299">
        <v>344322</v>
      </c>
      <c r="I299">
        <v>39072</v>
      </c>
      <c r="J299" s="4" t="s">
        <v>10</v>
      </c>
      <c r="K299">
        <v>2018</v>
      </c>
    </row>
    <row r="300" spans="1:11" hidden="1" x14ac:dyDescent="0.3">
      <c r="A300" s="4" t="s">
        <v>6</v>
      </c>
      <c r="B300" s="4" t="s">
        <v>14</v>
      </c>
      <c r="C300" s="4" t="s">
        <v>20</v>
      </c>
      <c r="D300" s="4" t="s">
        <v>26</v>
      </c>
      <c r="E300">
        <v>2076</v>
      </c>
      <c r="F300">
        <v>350</v>
      </c>
      <c r="G300">
        <v>726600</v>
      </c>
      <c r="H300">
        <v>683004</v>
      </c>
      <c r="I300">
        <v>143244</v>
      </c>
      <c r="J300" s="4" t="s">
        <v>10</v>
      </c>
      <c r="K300">
        <v>2018</v>
      </c>
    </row>
    <row r="301" spans="1:11" hidden="1" x14ac:dyDescent="0.3">
      <c r="A301" s="4" t="s">
        <v>18</v>
      </c>
      <c r="B301" s="4" t="s">
        <v>40</v>
      </c>
      <c r="C301" s="4" t="s">
        <v>2</v>
      </c>
      <c r="D301" s="4" t="s">
        <v>26</v>
      </c>
      <c r="E301">
        <v>2844</v>
      </c>
      <c r="F301">
        <v>15</v>
      </c>
      <c r="G301">
        <v>42660</v>
      </c>
      <c r="H301">
        <v>40100.400000000001</v>
      </c>
      <c r="I301">
        <v>11660.4</v>
      </c>
      <c r="J301" s="4" t="s">
        <v>25</v>
      </c>
      <c r="K301">
        <v>2019</v>
      </c>
    </row>
    <row r="302" spans="1:11" hidden="1" x14ac:dyDescent="0.3">
      <c r="A302" s="4" t="s">
        <v>6</v>
      </c>
      <c r="B302" s="4" t="s">
        <v>9</v>
      </c>
      <c r="C302" s="4" t="s">
        <v>2</v>
      </c>
      <c r="D302" s="4" t="s">
        <v>26</v>
      </c>
      <c r="E302">
        <v>1498</v>
      </c>
      <c r="F302">
        <v>7</v>
      </c>
      <c r="G302">
        <v>10486</v>
      </c>
      <c r="H302">
        <v>9856.84</v>
      </c>
      <c r="I302">
        <v>2366.84</v>
      </c>
      <c r="J302" s="4" t="s">
        <v>25</v>
      </c>
      <c r="K302">
        <v>2019</v>
      </c>
    </row>
    <row r="303" spans="1:11" hidden="1" x14ac:dyDescent="0.3">
      <c r="A303" s="4" t="s">
        <v>12</v>
      </c>
      <c r="B303" s="4" t="s">
        <v>14</v>
      </c>
      <c r="C303" s="4" t="s">
        <v>2</v>
      </c>
      <c r="D303" s="4" t="s">
        <v>26</v>
      </c>
      <c r="E303">
        <v>1221</v>
      </c>
      <c r="F303">
        <v>300</v>
      </c>
      <c r="G303">
        <v>366300</v>
      </c>
      <c r="H303">
        <v>344322</v>
      </c>
      <c r="I303">
        <v>39072</v>
      </c>
      <c r="J303" s="4" t="s">
        <v>10</v>
      </c>
      <c r="K303">
        <v>2018</v>
      </c>
    </row>
    <row r="304" spans="1:11" hidden="1" x14ac:dyDescent="0.3">
      <c r="A304" s="4" t="s">
        <v>6</v>
      </c>
      <c r="B304" s="4" t="s">
        <v>9</v>
      </c>
      <c r="C304" s="4" t="s">
        <v>2</v>
      </c>
      <c r="D304" s="4" t="s">
        <v>26</v>
      </c>
      <c r="E304">
        <v>1123</v>
      </c>
      <c r="F304">
        <v>20</v>
      </c>
      <c r="G304">
        <v>22460</v>
      </c>
      <c r="H304">
        <v>21112.400000000001</v>
      </c>
      <c r="I304">
        <v>9882.4</v>
      </c>
      <c r="J304" s="4" t="s">
        <v>16</v>
      </c>
      <c r="K304">
        <v>2018</v>
      </c>
    </row>
    <row r="305" spans="1:11" hidden="1" x14ac:dyDescent="0.3">
      <c r="A305" s="4" t="s">
        <v>12</v>
      </c>
      <c r="B305" s="4" t="s">
        <v>40</v>
      </c>
      <c r="C305" s="4" t="s">
        <v>2</v>
      </c>
      <c r="D305" s="4" t="s">
        <v>26</v>
      </c>
      <c r="E305">
        <v>2436</v>
      </c>
      <c r="F305">
        <v>300</v>
      </c>
      <c r="G305">
        <v>730800</v>
      </c>
      <c r="H305">
        <v>686952</v>
      </c>
      <c r="I305">
        <v>77952</v>
      </c>
      <c r="J305" s="4" t="s">
        <v>15</v>
      </c>
      <c r="K305">
        <v>2018</v>
      </c>
    </row>
    <row r="306" spans="1:11" hidden="1" x14ac:dyDescent="0.3">
      <c r="A306" s="4" t="s">
        <v>17</v>
      </c>
      <c r="B306" s="4" t="s">
        <v>14</v>
      </c>
      <c r="C306" s="4" t="s">
        <v>11</v>
      </c>
      <c r="D306" s="4" t="s">
        <v>26</v>
      </c>
      <c r="E306">
        <v>1987.5</v>
      </c>
      <c r="F306">
        <v>125</v>
      </c>
      <c r="G306">
        <v>248437.5</v>
      </c>
      <c r="H306">
        <v>233531.25</v>
      </c>
      <c r="I306">
        <v>-4968.75</v>
      </c>
      <c r="J306" s="4" t="s">
        <v>24</v>
      </c>
      <c r="K306">
        <v>2019</v>
      </c>
    </row>
    <row r="307" spans="1:11" hidden="1" x14ac:dyDescent="0.3">
      <c r="A307" s="4" t="s">
        <v>6</v>
      </c>
      <c r="B307" s="4" t="s">
        <v>9</v>
      </c>
      <c r="C307" s="4" t="s">
        <v>11</v>
      </c>
      <c r="D307" s="4" t="s">
        <v>26</v>
      </c>
      <c r="E307">
        <v>1679</v>
      </c>
      <c r="F307">
        <v>350</v>
      </c>
      <c r="G307">
        <v>587650</v>
      </c>
      <c r="H307">
        <v>552391</v>
      </c>
      <c r="I307">
        <v>115851</v>
      </c>
      <c r="J307" s="4" t="s">
        <v>21</v>
      </c>
      <c r="K307">
        <v>2019</v>
      </c>
    </row>
    <row r="308" spans="1:11" hidden="1" x14ac:dyDescent="0.3">
      <c r="A308" s="4" t="s">
        <v>6</v>
      </c>
      <c r="B308" s="4" t="s">
        <v>42</v>
      </c>
      <c r="C308" s="4" t="s">
        <v>11</v>
      </c>
      <c r="D308" s="4" t="s">
        <v>26</v>
      </c>
      <c r="E308">
        <v>727</v>
      </c>
      <c r="F308">
        <v>350</v>
      </c>
      <c r="G308">
        <v>254450</v>
      </c>
      <c r="H308">
        <v>239183</v>
      </c>
      <c r="I308">
        <v>50163</v>
      </c>
      <c r="J308" s="4" t="s">
        <v>10</v>
      </c>
      <c r="K308">
        <v>2018</v>
      </c>
    </row>
    <row r="309" spans="1:11" hidden="1" x14ac:dyDescent="0.3">
      <c r="A309" s="4" t="s">
        <v>6</v>
      </c>
      <c r="B309" s="4" t="s">
        <v>14</v>
      </c>
      <c r="C309" s="4" t="s">
        <v>11</v>
      </c>
      <c r="D309" s="4" t="s">
        <v>26</v>
      </c>
      <c r="E309">
        <v>1403</v>
      </c>
      <c r="F309">
        <v>7</v>
      </c>
      <c r="G309">
        <v>9821</v>
      </c>
      <c r="H309">
        <v>9231.74</v>
      </c>
      <c r="I309">
        <v>2216.7399999999998</v>
      </c>
      <c r="J309" s="4" t="s">
        <v>10</v>
      </c>
      <c r="K309">
        <v>2018</v>
      </c>
    </row>
    <row r="310" spans="1:11" hidden="1" x14ac:dyDescent="0.3">
      <c r="A310" s="4" t="s">
        <v>6</v>
      </c>
      <c r="B310" s="4" t="s">
        <v>14</v>
      </c>
      <c r="C310" s="4" t="s">
        <v>11</v>
      </c>
      <c r="D310" s="4" t="s">
        <v>26</v>
      </c>
      <c r="E310">
        <v>2076</v>
      </c>
      <c r="F310">
        <v>350</v>
      </c>
      <c r="G310">
        <v>726600</v>
      </c>
      <c r="H310">
        <v>683004</v>
      </c>
      <c r="I310">
        <v>143244</v>
      </c>
      <c r="J310" s="4" t="s">
        <v>10</v>
      </c>
      <c r="K310">
        <v>2018</v>
      </c>
    </row>
    <row r="311" spans="1:11" x14ac:dyDescent="0.3">
      <c r="A311" s="4" t="s">
        <v>6</v>
      </c>
      <c r="B311" s="4" t="s">
        <v>14</v>
      </c>
      <c r="C311" s="4" t="s">
        <v>8</v>
      </c>
      <c r="D311" s="4" t="s">
        <v>26</v>
      </c>
      <c r="E311">
        <v>1757</v>
      </c>
      <c r="F311">
        <v>20</v>
      </c>
      <c r="G311">
        <v>35140</v>
      </c>
      <c r="H311">
        <v>33031.599999999999</v>
      </c>
      <c r="I311">
        <v>15461.6</v>
      </c>
      <c r="J311" s="4" t="s">
        <v>10</v>
      </c>
      <c r="K311">
        <v>2018</v>
      </c>
    </row>
    <row r="312" spans="1:11" hidden="1" x14ac:dyDescent="0.3">
      <c r="A312" s="4" t="s">
        <v>18</v>
      </c>
      <c r="B312" s="4" t="s">
        <v>42</v>
      </c>
      <c r="C312" s="4" t="s">
        <v>5</v>
      </c>
      <c r="D312" s="4" t="s">
        <v>26</v>
      </c>
      <c r="E312">
        <v>2198</v>
      </c>
      <c r="F312">
        <v>15</v>
      </c>
      <c r="G312">
        <v>32970</v>
      </c>
      <c r="H312">
        <v>30991.8</v>
      </c>
      <c r="I312">
        <v>9011.7999999999993</v>
      </c>
      <c r="J312" s="4" t="s">
        <v>22</v>
      </c>
      <c r="K312">
        <v>2019</v>
      </c>
    </row>
    <row r="313" spans="1:11" hidden="1" x14ac:dyDescent="0.3">
      <c r="A313" s="4" t="s">
        <v>18</v>
      </c>
      <c r="B313" s="4" t="s">
        <v>41</v>
      </c>
      <c r="C313" s="4" t="s">
        <v>5</v>
      </c>
      <c r="D313" s="4" t="s">
        <v>26</v>
      </c>
      <c r="E313">
        <v>1743</v>
      </c>
      <c r="F313">
        <v>15</v>
      </c>
      <c r="G313">
        <v>26145</v>
      </c>
      <c r="H313">
        <v>24576.3</v>
      </c>
      <c r="I313">
        <v>7146.3</v>
      </c>
      <c r="J313" s="4" t="s">
        <v>22</v>
      </c>
      <c r="K313">
        <v>2019</v>
      </c>
    </row>
    <row r="314" spans="1:11" hidden="1" x14ac:dyDescent="0.3">
      <c r="A314" s="4" t="s">
        <v>18</v>
      </c>
      <c r="B314" s="4" t="s">
        <v>42</v>
      </c>
      <c r="C314" s="4" t="s">
        <v>5</v>
      </c>
      <c r="D314" s="4" t="s">
        <v>26</v>
      </c>
      <c r="E314">
        <v>1153</v>
      </c>
      <c r="F314">
        <v>15</v>
      </c>
      <c r="G314">
        <v>17295</v>
      </c>
      <c r="H314">
        <v>16257.3</v>
      </c>
      <c r="I314">
        <v>4727.3</v>
      </c>
      <c r="J314" s="4" t="s">
        <v>10</v>
      </c>
      <c r="K314">
        <v>2019</v>
      </c>
    </row>
    <row r="315" spans="1:11" hidden="1" x14ac:dyDescent="0.3">
      <c r="A315" s="4" t="s">
        <v>6</v>
      </c>
      <c r="B315" s="4" t="s">
        <v>14</v>
      </c>
      <c r="C315" s="4" t="s">
        <v>5</v>
      </c>
      <c r="D315" s="4" t="s">
        <v>26</v>
      </c>
      <c r="E315">
        <v>1757</v>
      </c>
      <c r="F315">
        <v>20</v>
      </c>
      <c r="G315">
        <v>35140</v>
      </c>
      <c r="H315">
        <v>33031.599999999999</v>
      </c>
      <c r="I315">
        <v>15461.6</v>
      </c>
      <c r="J315" s="4" t="s">
        <v>10</v>
      </c>
      <c r="K315">
        <v>2018</v>
      </c>
    </row>
    <row r="316" spans="1:11" hidden="1" x14ac:dyDescent="0.3">
      <c r="A316" s="4" t="s">
        <v>6</v>
      </c>
      <c r="B316" s="4" t="s">
        <v>41</v>
      </c>
      <c r="C316" s="4" t="s">
        <v>20</v>
      </c>
      <c r="D316" s="4" t="s">
        <v>26</v>
      </c>
      <c r="E316">
        <v>1001</v>
      </c>
      <c r="F316">
        <v>20</v>
      </c>
      <c r="G316">
        <v>20020</v>
      </c>
      <c r="H316">
        <v>18818.8</v>
      </c>
      <c r="I316">
        <v>8808.7999999999993</v>
      </c>
      <c r="J316" s="4" t="s">
        <v>22</v>
      </c>
      <c r="K316">
        <v>2019</v>
      </c>
    </row>
    <row r="317" spans="1:11" hidden="1" x14ac:dyDescent="0.3">
      <c r="A317" s="4" t="s">
        <v>6</v>
      </c>
      <c r="B317" s="4" t="s">
        <v>9</v>
      </c>
      <c r="C317" s="4" t="s">
        <v>20</v>
      </c>
      <c r="D317" s="4" t="s">
        <v>26</v>
      </c>
      <c r="E317">
        <v>1333</v>
      </c>
      <c r="F317">
        <v>7</v>
      </c>
      <c r="G317">
        <v>9331</v>
      </c>
      <c r="H317">
        <v>8771.14</v>
      </c>
      <c r="I317">
        <v>2106.14</v>
      </c>
      <c r="J317" s="4" t="s">
        <v>16</v>
      </c>
      <c r="K317">
        <v>2019</v>
      </c>
    </row>
    <row r="318" spans="1:11" hidden="1" x14ac:dyDescent="0.3">
      <c r="A318" s="4" t="s">
        <v>18</v>
      </c>
      <c r="B318" s="4" t="s">
        <v>42</v>
      </c>
      <c r="C318" s="4" t="s">
        <v>2</v>
      </c>
      <c r="D318" s="4" t="s">
        <v>26</v>
      </c>
      <c r="E318">
        <v>1153</v>
      </c>
      <c r="F318">
        <v>15</v>
      </c>
      <c r="G318">
        <v>17295</v>
      </c>
      <c r="H318">
        <v>16257.3</v>
      </c>
      <c r="I318">
        <v>4727.3</v>
      </c>
      <c r="J318" s="4" t="s">
        <v>10</v>
      </c>
      <c r="K318">
        <v>2019</v>
      </c>
    </row>
    <row r="319" spans="1:11" hidden="1" x14ac:dyDescent="0.3">
      <c r="A319" s="4" t="s">
        <v>3</v>
      </c>
      <c r="B319" s="4" t="s">
        <v>9</v>
      </c>
      <c r="C319" s="4" t="s">
        <v>23</v>
      </c>
      <c r="D319" s="4" t="s">
        <v>26</v>
      </c>
      <c r="E319">
        <v>727</v>
      </c>
      <c r="F319">
        <v>12</v>
      </c>
      <c r="G319">
        <v>8724</v>
      </c>
      <c r="H319">
        <v>8113.32</v>
      </c>
      <c r="I319">
        <v>5932.32</v>
      </c>
      <c r="J319" s="4" t="s">
        <v>7</v>
      </c>
      <c r="K319">
        <v>2019</v>
      </c>
    </row>
    <row r="320" spans="1:11" x14ac:dyDescent="0.3">
      <c r="A320" s="4" t="s">
        <v>3</v>
      </c>
      <c r="B320" s="4" t="s">
        <v>40</v>
      </c>
      <c r="C320" s="4" t="s">
        <v>23</v>
      </c>
      <c r="D320" s="4" t="s">
        <v>26</v>
      </c>
      <c r="E320">
        <v>1884</v>
      </c>
      <c r="F320">
        <v>12</v>
      </c>
      <c r="G320">
        <v>22608</v>
      </c>
      <c r="H320">
        <v>21025.439999999999</v>
      </c>
      <c r="I320">
        <v>15373.44</v>
      </c>
      <c r="J320" s="4" t="s">
        <v>22</v>
      </c>
      <c r="K320">
        <v>2019</v>
      </c>
    </row>
    <row r="321" spans="1:11" hidden="1" x14ac:dyDescent="0.3">
      <c r="A321" s="4" t="s">
        <v>6</v>
      </c>
      <c r="B321" s="4" t="s">
        <v>9</v>
      </c>
      <c r="C321" s="4" t="s">
        <v>23</v>
      </c>
      <c r="D321" s="4" t="s">
        <v>26</v>
      </c>
      <c r="E321">
        <v>1834</v>
      </c>
      <c r="F321">
        <v>20</v>
      </c>
      <c r="G321">
        <v>36680</v>
      </c>
      <c r="H321">
        <v>34112.400000000001</v>
      </c>
      <c r="I321">
        <v>15772.4</v>
      </c>
      <c r="J321" s="4" t="s">
        <v>21</v>
      </c>
      <c r="K321">
        <v>2018</v>
      </c>
    </row>
    <row r="322" spans="1:11" hidden="1" x14ac:dyDescent="0.3">
      <c r="A322" s="4" t="s">
        <v>3</v>
      </c>
      <c r="B322" s="4" t="s">
        <v>9</v>
      </c>
      <c r="C322" s="4" t="s">
        <v>8</v>
      </c>
      <c r="D322" s="4" t="s">
        <v>26</v>
      </c>
      <c r="E322">
        <v>2340</v>
      </c>
      <c r="F322">
        <v>12</v>
      </c>
      <c r="G322">
        <v>28080</v>
      </c>
      <c r="H322">
        <v>26114.400000000001</v>
      </c>
      <c r="I322">
        <v>19094.400000000001</v>
      </c>
      <c r="J322" s="4" t="s">
        <v>24</v>
      </c>
      <c r="K322">
        <v>2019</v>
      </c>
    </row>
    <row r="323" spans="1:11" x14ac:dyDescent="0.3">
      <c r="A323" s="4" t="s">
        <v>3</v>
      </c>
      <c r="B323" s="4" t="s">
        <v>14</v>
      </c>
      <c r="C323" s="4" t="s">
        <v>8</v>
      </c>
      <c r="D323" s="4" t="s">
        <v>26</v>
      </c>
      <c r="E323">
        <v>2342</v>
      </c>
      <c r="F323">
        <v>12</v>
      </c>
      <c r="G323">
        <v>28104</v>
      </c>
      <c r="H323">
        <v>26136.720000000001</v>
      </c>
      <c r="I323">
        <v>19110.72</v>
      </c>
      <c r="J323" s="4" t="s">
        <v>16</v>
      </c>
      <c r="K323">
        <v>2019</v>
      </c>
    </row>
    <row r="324" spans="1:11" hidden="1" x14ac:dyDescent="0.3">
      <c r="A324" s="4" t="s">
        <v>6</v>
      </c>
      <c r="B324" s="4" t="s">
        <v>14</v>
      </c>
      <c r="C324" s="4" t="s">
        <v>5</v>
      </c>
      <c r="D324" s="4" t="s">
        <v>26</v>
      </c>
      <c r="E324">
        <v>1031</v>
      </c>
      <c r="F324">
        <v>7</v>
      </c>
      <c r="G324">
        <v>7217</v>
      </c>
      <c r="H324">
        <v>6711.81</v>
      </c>
      <c r="I324">
        <v>1556.81</v>
      </c>
      <c r="J324" s="4" t="s">
        <v>21</v>
      </c>
      <c r="K324">
        <v>2018</v>
      </c>
    </row>
    <row r="325" spans="1:11" hidden="1" x14ac:dyDescent="0.3">
      <c r="A325" s="4" t="s">
        <v>18</v>
      </c>
      <c r="B325" s="4" t="s">
        <v>40</v>
      </c>
      <c r="C325" s="4" t="s">
        <v>20</v>
      </c>
      <c r="D325" s="4" t="s">
        <v>26</v>
      </c>
      <c r="E325">
        <v>1262</v>
      </c>
      <c r="F325">
        <v>15</v>
      </c>
      <c r="G325">
        <v>18930</v>
      </c>
      <c r="H325">
        <v>17604.900000000001</v>
      </c>
      <c r="I325">
        <v>4984.8999999999996</v>
      </c>
      <c r="J325" s="4" t="s">
        <v>0</v>
      </c>
      <c r="K325">
        <v>2019</v>
      </c>
    </row>
    <row r="326" spans="1:11" hidden="1" x14ac:dyDescent="0.3">
      <c r="A326" s="4" t="s">
        <v>6</v>
      </c>
      <c r="B326" s="4" t="s">
        <v>40</v>
      </c>
      <c r="C326" s="4" t="s">
        <v>20</v>
      </c>
      <c r="D326" s="4" t="s">
        <v>26</v>
      </c>
      <c r="E326">
        <v>1135</v>
      </c>
      <c r="F326">
        <v>7</v>
      </c>
      <c r="G326">
        <v>7945</v>
      </c>
      <c r="H326">
        <v>7388.85</v>
      </c>
      <c r="I326">
        <v>1713.85</v>
      </c>
      <c r="J326" s="4" t="s">
        <v>25</v>
      </c>
      <c r="K326">
        <v>2019</v>
      </c>
    </row>
    <row r="327" spans="1:11" hidden="1" x14ac:dyDescent="0.3">
      <c r="A327" s="4" t="s">
        <v>6</v>
      </c>
      <c r="B327" s="4" t="s">
        <v>42</v>
      </c>
      <c r="C327" s="4" t="s">
        <v>20</v>
      </c>
      <c r="D327" s="4" t="s">
        <v>26</v>
      </c>
      <c r="E327">
        <v>547</v>
      </c>
      <c r="F327">
        <v>7</v>
      </c>
      <c r="G327">
        <v>3829</v>
      </c>
      <c r="H327">
        <v>3560.97</v>
      </c>
      <c r="I327">
        <v>825.97</v>
      </c>
      <c r="J327" s="4" t="s">
        <v>16</v>
      </c>
      <c r="K327">
        <v>2019</v>
      </c>
    </row>
    <row r="328" spans="1:11" hidden="1" x14ac:dyDescent="0.3">
      <c r="A328" s="4" t="s">
        <v>6</v>
      </c>
      <c r="B328" s="4" t="s">
        <v>40</v>
      </c>
      <c r="C328" s="4" t="s">
        <v>20</v>
      </c>
      <c r="D328" s="4" t="s">
        <v>26</v>
      </c>
      <c r="E328">
        <v>1582</v>
      </c>
      <c r="F328">
        <v>7</v>
      </c>
      <c r="G328">
        <v>11074</v>
      </c>
      <c r="H328">
        <v>10298.82</v>
      </c>
      <c r="I328">
        <v>2388.8200000000002</v>
      </c>
      <c r="J328" s="4" t="s">
        <v>15</v>
      </c>
      <c r="K328">
        <v>2019</v>
      </c>
    </row>
    <row r="329" spans="1:11" hidden="1" x14ac:dyDescent="0.3">
      <c r="A329" s="4" t="s">
        <v>3</v>
      </c>
      <c r="B329" s="4" t="s">
        <v>14</v>
      </c>
      <c r="C329" s="4" t="s">
        <v>2</v>
      </c>
      <c r="D329" s="4" t="s">
        <v>26</v>
      </c>
      <c r="E329">
        <v>1738.5</v>
      </c>
      <c r="F329">
        <v>12</v>
      </c>
      <c r="G329">
        <v>20862</v>
      </c>
      <c r="H329">
        <v>19401.66</v>
      </c>
      <c r="I329">
        <v>14186.16</v>
      </c>
      <c r="J329" s="4" t="s">
        <v>4</v>
      </c>
      <c r="K329">
        <v>2019</v>
      </c>
    </row>
    <row r="330" spans="1:11" hidden="1" x14ac:dyDescent="0.3">
      <c r="A330" s="4" t="s">
        <v>3</v>
      </c>
      <c r="B330" s="4" t="s">
        <v>41</v>
      </c>
      <c r="C330" s="4" t="s">
        <v>2</v>
      </c>
      <c r="D330" s="4" t="s">
        <v>26</v>
      </c>
      <c r="E330">
        <v>2215</v>
      </c>
      <c r="F330">
        <v>12</v>
      </c>
      <c r="G330">
        <v>26580</v>
      </c>
      <c r="H330">
        <v>24719.4</v>
      </c>
      <c r="I330">
        <v>18074.400000000001</v>
      </c>
      <c r="J330" s="4" t="s">
        <v>21</v>
      </c>
      <c r="K330">
        <v>2018</v>
      </c>
    </row>
    <row r="331" spans="1:11" hidden="1" x14ac:dyDescent="0.3">
      <c r="A331" s="4" t="s">
        <v>6</v>
      </c>
      <c r="B331" s="4" t="s">
        <v>40</v>
      </c>
      <c r="C331" s="4" t="s">
        <v>2</v>
      </c>
      <c r="D331" s="4" t="s">
        <v>26</v>
      </c>
      <c r="E331">
        <v>1582</v>
      </c>
      <c r="F331">
        <v>7</v>
      </c>
      <c r="G331">
        <v>11074</v>
      </c>
      <c r="H331">
        <v>10298.82</v>
      </c>
      <c r="I331">
        <v>2388.8200000000002</v>
      </c>
      <c r="J331" s="4" t="s">
        <v>15</v>
      </c>
      <c r="K331">
        <v>2019</v>
      </c>
    </row>
    <row r="332" spans="1:11" hidden="1" x14ac:dyDescent="0.3">
      <c r="A332" s="4" t="s">
        <v>6</v>
      </c>
      <c r="B332" s="4" t="s">
        <v>40</v>
      </c>
      <c r="C332" s="4" t="s">
        <v>11</v>
      </c>
      <c r="D332" s="4" t="s">
        <v>26</v>
      </c>
      <c r="E332">
        <v>1135</v>
      </c>
      <c r="F332">
        <v>7</v>
      </c>
      <c r="G332">
        <v>7945</v>
      </c>
      <c r="H332">
        <v>7388.85</v>
      </c>
      <c r="I332">
        <v>1713.85</v>
      </c>
      <c r="J332" s="4" t="s">
        <v>25</v>
      </c>
      <c r="K332">
        <v>2019</v>
      </c>
    </row>
    <row r="333" spans="1:11" hidden="1" x14ac:dyDescent="0.3">
      <c r="A333" s="4" t="s">
        <v>6</v>
      </c>
      <c r="B333" s="4" t="s">
        <v>42</v>
      </c>
      <c r="C333" s="4" t="s">
        <v>23</v>
      </c>
      <c r="D333" s="4" t="s">
        <v>26</v>
      </c>
      <c r="E333">
        <v>1761</v>
      </c>
      <c r="F333">
        <v>350</v>
      </c>
      <c r="G333">
        <v>616350</v>
      </c>
      <c r="H333">
        <v>573205.5</v>
      </c>
      <c r="I333">
        <v>115345.5</v>
      </c>
      <c r="J333" s="4" t="s">
        <v>13</v>
      </c>
      <c r="K333">
        <v>2019</v>
      </c>
    </row>
    <row r="334" spans="1:11" x14ac:dyDescent="0.3">
      <c r="A334" s="4" t="s">
        <v>12</v>
      </c>
      <c r="B334" s="4" t="s">
        <v>14</v>
      </c>
      <c r="C334" s="4" t="s">
        <v>23</v>
      </c>
      <c r="D334" s="4" t="s">
        <v>26</v>
      </c>
      <c r="E334">
        <v>448</v>
      </c>
      <c r="F334">
        <v>300</v>
      </c>
      <c r="G334">
        <v>134400</v>
      </c>
      <c r="H334">
        <v>124992</v>
      </c>
      <c r="I334">
        <v>12992</v>
      </c>
      <c r="J334" s="4" t="s">
        <v>25</v>
      </c>
      <c r="K334">
        <v>2019</v>
      </c>
    </row>
    <row r="335" spans="1:11" x14ac:dyDescent="0.3">
      <c r="A335" s="4" t="s">
        <v>12</v>
      </c>
      <c r="B335" s="4" t="s">
        <v>14</v>
      </c>
      <c r="C335" s="4" t="s">
        <v>23</v>
      </c>
      <c r="D335" s="4" t="s">
        <v>26</v>
      </c>
      <c r="E335">
        <v>2181</v>
      </c>
      <c r="F335">
        <v>300</v>
      </c>
      <c r="G335">
        <v>654300</v>
      </c>
      <c r="H335">
        <v>608499</v>
      </c>
      <c r="I335">
        <v>63249</v>
      </c>
      <c r="J335" s="4" t="s">
        <v>10</v>
      </c>
      <c r="K335">
        <v>2019</v>
      </c>
    </row>
    <row r="336" spans="1:11" x14ac:dyDescent="0.3">
      <c r="A336" s="4" t="s">
        <v>6</v>
      </c>
      <c r="B336" s="4" t="s">
        <v>14</v>
      </c>
      <c r="C336" s="4" t="s">
        <v>8</v>
      </c>
      <c r="D336" s="4" t="s">
        <v>26</v>
      </c>
      <c r="E336">
        <v>1976</v>
      </c>
      <c r="F336">
        <v>20</v>
      </c>
      <c r="G336">
        <v>39520</v>
      </c>
      <c r="H336">
        <v>36753.599999999999</v>
      </c>
      <c r="I336">
        <v>16993.599999999999</v>
      </c>
      <c r="J336" s="4" t="s">
        <v>10</v>
      </c>
      <c r="K336">
        <v>2019</v>
      </c>
    </row>
    <row r="337" spans="1:11" x14ac:dyDescent="0.3">
      <c r="A337" s="4" t="s">
        <v>12</v>
      </c>
      <c r="B337" s="4" t="s">
        <v>14</v>
      </c>
      <c r="C337" s="4" t="s">
        <v>8</v>
      </c>
      <c r="D337" s="4" t="s">
        <v>26</v>
      </c>
      <c r="E337">
        <v>2181</v>
      </c>
      <c r="F337">
        <v>300</v>
      </c>
      <c r="G337">
        <v>654300</v>
      </c>
      <c r="H337">
        <v>608499</v>
      </c>
      <c r="I337">
        <v>63249</v>
      </c>
      <c r="J337" s="4" t="s">
        <v>10</v>
      </c>
      <c r="K337">
        <v>2019</v>
      </c>
    </row>
    <row r="338" spans="1:11" x14ac:dyDescent="0.3">
      <c r="A338" s="4" t="s">
        <v>17</v>
      </c>
      <c r="B338" s="4" t="s">
        <v>41</v>
      </c>
      <c r="C338" s="4" t="s">
        <v>8</v>
      </c>
      <c r="D338" s="4" t="s">
        <v>26</v>
      </c>
      <c r="E338">
        <v>2500</v>
      </c>
      <c r="F338">
        <v>125</v>
      </c>
      <c r="G338">
        <v>312500</v>
      </c>
      <c r="H338">
        <v>290625</v>
      </c>
      <c r="I338">
        <v>-9375</v>
      </c>
      <c r="J338" s="4" t="s">
        <v>16</v>
      </c>
      <c r="K338">
        <v>2018</v>
      </c>
    </row>
    <row r="339" spans="1:11" hidden="1" x14ac:dyDescent="0.3">
      <c r="A339" s="4" t="s">
        <v>12</v>
      </c>
      <c r="B339" s="4" t="s">
        <v>40</v>
      </c>
      <c r="C339" s="4" t="s">
        <v>5</v>
      </c>
      <c r="D339" s="4" t="s">
        <v>26</v>
      </c>
      <c r="E339">
        <v>1702</v>
      </c>
      <c r="F339">
        <v>300</v>
      </c>
      <c r="G339">
        <v>510600</v>
      </c>
      <c r="H339">
        <v>474858</v>
      </c>
      <c r="I339">
        <v>49358</v>
      </c>
      <c r="J339" s="4" t="s">
        <v>0</v>
      </c>
      <c r="K339">
        <v>2019</v>
      </c>
    </row>
    <row r="340" spans="1:11" hidden="1" x14ac:dyDescent="0.3">
      <c r="A340" s="4" t="s">
        <v>12</v>
      </c>
      <c r="B340" s="4" t="s">
        <v>14</v>
      </c>
      <c r="C340" s="4" t="s">
        <v>5</v>
      </c>
      <c r="D340" s="4" t="s">
        <v>26</v>
      </c>
      <c r="E340">
        <v>448</v>
      </c>
      <c r="F340">
        <v>300</v>
      </c>
      <c r="G340">
        <v>134400</v>
      </c>
      <c r="H340">
        <v>124992</v>
      </c>
      <c r="I340">
        <v>12992</v>
      </c>
      <c r="J340" s="4" t="s">
        <v>25</v>
      </c>
      <c r="K340">
        <v>2019</v>
      </c>
    </row>
    <row r="341" spans="1:11" hidden="1" x14ac:dyDescent="0.3">
      <c r="A341" s="4" t="s">
        <v>17</v>
      </c>
      <c r="B341" s="4" t="s">
        <v>41</v>
      </c>
      <c r="C341" s="4" t="s">
        <v>5</v>
      </c>
      <c r="D341" s="4" t="s">
        <v>26</v>
      </c>
      <c r="E341">
        <v>3513</v>
      </c>
      <c r="F341">
        <v>125</v>
      </c>
      <c r="G341">
        <v>439125</v>
      </c>
      <c r="H341">
        <v>408386.25</v>
      </c>
      <c r="I341">
        <v>-13173.75</v>
      </c>
      <c r="J341" s="4" t="s">
        <v>19</v>
      </c>
      <c r="K341">
        <v>2019</v>
      </c>
    </row>
    <row r="342" spans="1:11" hidden="1" x14ac:dyDescent="0.3">
      <c r="A342" s="4" t="s">
        <v>18</v>
      </c>
      <c r="B342" s="4" t="s">
        <v>14</v>
      </c>
      <c r="C342" s="4" t="s">
        <v>5</v>
      </c>
      <c r="D342" s="4" t="s">
        <v>26</v>
      </c>
      <c r="E342">
        <v>2101</v>
      </c>
      <c r="F342">
        <v>15</v>
      </c>
      <c r="G342">
        <v>31515</v>
      </c>
      <c r="H342">
        <v>29308.95</v>
      </c>
      <c r="I342">
        <v>8298.9500000000007</v>
      </c>
      <c r="J342" s="4" t="s">
        <v>22</v>
      </c>
      <c r="K342">
        <v>2019</v>
      </c>
    </row>
    <row r="343" spans="1:11" hidden="1" x14ac:dyDescent="0.3">
      <c r="A343" s="4" t="s">
        <v>18</v>
      </c>
      <c r="B343" s="4" t="s">
        <v>42</v>
      </c>
      <c r="C343" s="4" t="s">
        <v>5</v>
      </c>
      <c r="D343" s="4" t="s">
        <v>26</v>
      </c>
      <c r="E343">
        <v>2931</v>
      </c>
      <c r="F343">
        <v>15</v>
      </c>
      <c r="G343">
        <v>43965</v>
      </c>
      <c r="H343">
        <v>40887.449999999997</v>
      </c>
      <c r="I343">
        <v>11577.45</v>
      </c>
      <c r="J343" s="4" t="s">
        <v>21</v>
      </c>
      <c r="K343">
        <v>2018</v>
      </c>
    </row>
    <row r="344" spans="1:11" hidden="1" x14ac:dyDescent="0.3">
      <c r="A344" s="4" t="s">
        <v>6</v>
      </c>
      <c r="B344" s="4" t="s">
        <v>14</v>
      </c>
      <c r="C344" s="4" t="s">
        <v>5</v>
      </c>
      <c r="D344" s="4" t="s">
        <v>26</v>
      </c>
      <c r="E344">
        <v>1535</v>
      </c>
      <c r="F344">
        <v>20</v>
      </c>
      <c r="G344">
        <v>30700</v>
      </c>
      <c r="H344">
        <v>28551</v>
      </c>
      <c r="I344">
        <v>13201</v>
      </c>
      <c r="J344" s="4" t="s">
        <v>21</v>
      </c>
      <c r="K344">
        <v>2019</v>
      </c>
    </row>
    <row r="345" spans="1:11" hidden="1" x14ac:dyDescent="0.3">
      <c r="A345" s="4" t="s">
        <v>12</v>
      </c>
      <c r="B345" s="4" t="s">
        <v>41</v>
      </c>
      <c r="C345" s="4" t="s">
        <v>5</v>
      </c>
      <c r="D345" s="4" t="s">
        <v>26</v>
      </c>
      <c r="E345">
        <v>1123</v>
      </c>
      <c r="F345">
        <v>300</v>
      </c>
      <c r="G345">
        <v>336900</v>
      </c>
      <c r="H345">
        <v>313317</v>
      </c>
      <c r="I345">
        <v>32567</v>
      </c>
      <c r="J345" s="4" t="s">
        <v>21</v>
      </c>
      <c r="K345">
        <v>2018</v>
      </c>
    </row>
    <row r="346" spans="1:11" hidden="1" x14ac:dyDescent="0.3">
      <c r="A346" s="4" t="s">
        <v>12</v>
      </c>
      <c r="B346" s="4" t="s">
        <v>40</v>
      </c>
      <c r="C346" s="4" t="s">
        <v>5</v>
      </c>
      <c r="D346" s="4" t="s">
        <v>26</v>
      </c>
      <c r="E346">
        <v>1404</v>
      </c>
      <c r="F346">
        <v>300</v>
      </c>
      <c r="G346">
        <v>421200</v>
      </c>
      <c r="H346">
        <v>391716</v>
      </c>
      <c r="I346">
        <v>40716</v>
      </c>
      <c r="J346" s="4" t="s">
        <v>16</v>
      </c>
      <c r="K346">
        <v>2018</v>
      </c>
    </row>
    <row r="347" spans="1:11" hidden="1" x14ac:dyDescent="0.3">
      <c r="A347" s="4" t="s">
        <v>3</v>
      </c>
      <c r="B347" s="4" t="s">
        <v>9</v>
      </c>
      <c r="C347" s="4" t="s">
        <v>5</v>
      </c>
      <c r="D347" s="4" t="s">
        <v>26</v>
      </c>
      <c r="E347">
        <v>2763</v>
      </c>
      <c r="F347">
        <v>12</v>
      </c>
      <c r="G347">
        <v>33156</v>
      </c>
      <c r="H347">
        <v>30835.08</v>
      </c>
      <c r="I347">
        <v>22546.080000000002</v>
      </c>
      <c r="J347" s="4" t="s">
        <v>16</v>
      </c>
      <c r="K347">
        <v>2018</v>
      </c>
    </row>
    <row r="348" spans="1:11" hidden="1" x14ac:dyDescent="0.3">
      <c r="A348" s="4" t="s">
        <v>6</v>
      </c>
      <c r="B348" s="4" t="s">
        <v>41</v>
      </c>
      <c r="C348" s="4" t="s">
        <v>5</v>
      </c>
      <c r="D348" s="4" t="s">
        <v>26</v>
      </c>
      <c r="E348">
        <v>2125</v>
      </c>
      <c r="F348">
        <v>7</v>
      </c>
      <c r="G348">
        <v>14875</v>
      </c>
      <c r="H348">
        <v>13833.75</v>
      </c>
      <c r="I348">
        <v>3208.75</v>
      </c>
      <c r="J348" s="4" t="s">
        <v>15</v>
      </c>
      <c r="K348">
        <v>2018</v>
      </c>
    </row>
    <row r="349" spans="1:11" hidden="1" x14ac:dyDescent="0.3">
      <c r="A349" s="4" t="s">
        <v>12</v>
      </c>
      <c r="B349" s="4" t="s">
        <v>14</v>
      </c>
      <c r="C349" s="4" t="s">
        <v>20</v>
      </c>
      <c r="D349" s="4" t="s">
        <v>26</v>
      </c>
      <c r="E349">
        <v>1659</v>
      </c>
      <c r="F349">
        <v>300</v>
      </c>
      <c r="G349">
        <v>497700</v>
      </c>
      <c r="H349">
        <v>462861</v>
      </c>
      <c r="I349">
        <v>48111</v>
      </c>
      <c r="J349" s="4" t="s">
        <v>19</v>
      </c>
      <c r="K349">
        <v>2019</v>
      </c>
    </row>
    <row r="350" spans="1:11" hidden="1" x14ac:dyDescent="0.3">
      <c r="A350" s="4" t="s">
        <v>6</v>
      </c>
      <c r="B350" s="4" t="s">
        <v>9</v>
      </c>
      <c r="C350" s="4" t="s">
        <v>20</v>
      </c>
      <c r="D350" s="4" t="s">
        <v>26</v>
      </c>
      <c r="E350">
        <v>609</v>
      </c>
      <c r="F350">
        <v>20</v>
      </c>
      <c r="G350">
        <v>12180</v>
      </c>
      <c r="H350">
        <v>11327.4</v>
      </c>
      <c r="I350">
        <v>5237.3999999999996</v>
      </c>
      <c r="J350" s="4" t="s">
        <v>22</v>
      </c>
      <c r="K350">
        <v>2019</v>
      </c>
    </row>
    <row r="351" spans="1:11" hidden="1" x14ac:dyDescent="0.3">
      <c r="A351" s="4" t="s">
        <v>17</v>
      </c>
      <c r="B351" s="4" t="s">
        <v>41</v>
      </c>
      <c r="C351" s="4" t="s">
        <v>20</v>
      </c>
      <c r="D351" s="4" t="s">
        <v>26</v>
      </c>
      <c r="E351">
        <v>2087</v>
      </c>
      <c r="F351">
        <v>125</v>
      </c>
      <c r="G351">
        <v>260875</v>
      </c>
      <c r="H351">
        <v>242613.75</v>
      </c>
      <c r="I351">
        <v>-7826.25</v>
      </c>
      <c r="J351" s="4" t="s">
        <v>21</v>
      </c>
      <c r="K351">
        <v>2019</v>
      </c>
    </row>
    <row r="352" spans="1:11" hidden="1" x14ac:dyDescent="0.3">
      <c r="A352" s="4" t="s">
        <v>6</v>
      </c>
      <c r="B352" s="4" t="s">
        <v>14</v>
      </c>
      <c r="C352" s="4" t="s">
        <v>20</v>
      </c>
      <c r="D352" s="4" t="s">
        <v>26</v>
      </c>
      <c r="E352">
        <v>1976</v>
      </c>
      <c r="F352">
        <v>20</v>
      </c>
      <c r="G352">
        <v>39520</v>
      </c>
      <c r="H352">
        <v>36753.599999999999</v>
      </c>
      <c r="I352">
        <v>16993.599999999999</v>
      </c>
      <c r="J352" s="4" t="s">
        <v>10</v>
      </c>
      <c r="K352">
        <v>2019</v>
      </c>
    </row>
    <row r="353" spans="1:11" hidden="1" x14ac:dyDescent="0.3">
      <c r="A353" s="4" t="s">
        <v>6</v>
      </c>
      <c r="B353" s="4" t="s">
        <v>42</v>
      </c>
      <c r="C353" s="4" t="s">
        <v>20</v>
      </c>
      <c r="D353" s="4" t="s">
        <v>26</v>
      </c>
      <c r="E353">
        <v>1421</v>
      </c>
      <c r="F353">
        <v>20</v>
      </c>
      <c r="G353">
        <v>28420</v>
      </c>
      <c r="H353">
        <v>26430.6</v>
      </c>
      <c r="I353">
        <v>12220.6</v>
      </c>
      <c r="J353" s="4" t="s">
        <v>15</v>
      </c>
      <c r="K353">
        <v>2018</v>
      </c>
    </row>
    <row r="354" spans="1:11" hidden="1" x14ac:dyDescent="0.3">
      <c r="A354" s="4" t="s">
        <v>12</v>
      </c>
      <c r="B354" s="4" t="s">
        <v>42</v>
      </c>
      <c r="C354" s="4" t="s">
        <v>20</v>
      </c>
      <c r="D354" s="4" t="s">
        <v>26</v>
      </c>
      <c r="E354">
        <v>1372</v>
      </c>
      <c r="F354">
        <v>300</v>
      </c>
      <c r="G354">
        <v>411600</v>
      </c>
      <c r="H354">
        <v>382788</v>
      </c>
      <c r="I354">
        <v>39788</v>
      </c>
      <c r="J354" s="4" t="s">
        <v>15</v>
      </c>
      <c r="K354">
        <v>2019</v>
      </c>
    </row>
    <row r="355" spans="1:11" hidden="1" x14ac:dyDescent="0.3">
      <c r="A355" s="4" t="s">
        <v>6</v>
      </c>
      <c r="B355" s="4" t="s">
        <v>41</v>
      </c>
      <c r="C355" s="4" t="s">
        <v>20</v>
      </c>
      <c r="D355" s="4" t="s">
        <v>26</v>
      </c>
      <c r="E355">
        <v>588</v>
      </c>
      <c r="F355">
        <v>20</v>
      </c>
      <c r="G355">
        <v>11760</v>
      </c>
      <c r="H355">
        <v>10936.8</v>
      </c>
      <c r="I355">
        <v>5056.8</v>
      </c>
      <c r="J355" s="4" t="s">
        <v>15</v>
      </c>
      <c r="K355">
        <v>2018</v>
      </c>
    </row>
    <row r="356" spans="1:11" hidden="1" x14ac:dyDescent="0.3">
      <c r="A356" s="4" t="s">
        <v>3</v>
      </c>
      <c r="B356" s="4" t="s">
        <v>40</v>
      </c>
      <c r="C356" s="4" t="s">
        <v>2</v>
      </c>
      <c r="D356" s="4" t="s">
        <v>26</v>
      </c>
      <c r="E356">
        <v>3244.5</v>
      </c>
      <c r="F356">
        <v>12</v>
      </c>
      <c r="G356">
        <v>38934</v>
      </c>
      <c r="H356">
        <v>36208.620000000003</v>
      </c>
      <c r="I356">
        <v>26475.119999999999</v>
      </c>
      <c r="J356" s="4" t="s">
        <v>24</v>
      </c>
      <c r="K356">
        <v>2019</v>
      </c>
    </row>
    <row r="357" spans="1:11" hidden="1" x14ac:dyDescent="0.3">
      <c r="A357" s="4" t="s">
        <v>12</v>
      </c>
      <c r="B357" s="4" t="s">
        <v>14</v>
      </c>
      <c r="C357" s="4" t="s">
        <v>2</v>
      </c>
      <c r="D357" s="4" t="s">
        <v>26</v>
      </c>
      <c r="E357">
        <v>959</v>
      </c>
      <c r="F357">
        <v>300</v>
      </c>
      <c r="G357">
        <v>287700</v>
      </c>
      <c r="H357">
        <v>267561</v>
      </c>
      <c r="I357">
        <v>27811</v>
      </c>
      <c r="J357" s="4" t="s">
        <v>7</v>
      </c>
      <c r="K357">
        <v>2019</v>
      </c>
    </row>
    <row r="358" spans="1:11" hidden="1" x14ac:dyDescent="0.3">
      <c r="A358" s="4" t="s">
        <v>12</v>
      </c>
      <c r="B358" s="4" t="s">
        <v>9</v>
      </c>
      <c r="C358" s="4" t="s">
        <v>2</v>
      </c>
      <c r="D358" s="4" t="s">
        <v>26</v>
      </c>
      <c r="E358">
        <v>2747</v>
      </c>
      <c r="F358">
        <v>300</v>
      </c>
      <c r="G358">
        <v>824100</v>
      </c>
      <c r="H358">
        <v>766413</v>
      </c>
      <c r="I358">
        <v>79663</v>
      </c>
      <c r="J358" s="4" t="s">
        <v>7</v>
      </c>
      <c r="K358">
        <v>2019</v>
      </c>
    </row>
    <row r="359" spans="1:11" hidden="1" x14ac:dyDescent="0.3">
      <c r="A359" s="4" t="s">
        <v>17</v>
      </c>
      <c r="B359" s="4" t="s">
        <v>40</v>
      </c>
      <c r="C359" s="4" t="s">
        <v>11</v>
      </c>
      <c r="D359" s="4" t="s">
        <v>26</v>
      </c>
      <c r="E359">
        <v>1645</v>
      </c>
      <c r="F359">
        <v>125</v>
      </c>
      <c r="G359">
        <v>205625</v>
      </c>
      <c r="H359">
        <v>191231.25</v>
      </c>
      <c r="I359">
        <v>-6168.75</v>
      </c>
      <c r="J359" s="4" t="s">
        <v>0</v>
      </c>
      <c r="K359">
        <v>2019</v>
      </c>
    </row>
    <row r="360" spans="1:11" hidden="1" x14ac:dyDescent="0.3">
      <c r="A360" s="4" t="s">
        <v>6</v>
      </c>
      <c r="B360" s="4" t="s">
        <v>14</v>
      </c>
      <c r="C360" s="4" t="s">
        <v>11</v>
      </c>
      <c r="D360" s="4" t="s">
        <v>26</v>
      </c>
      <c r="E360">
        <v>2876</v>
      </c>
      <c r="F360">
        <v>350</v>
      </c>
      <c r="G360">
        <v>1006600</v>
      </c>
      <c r="H360">
        <v>936138</v>
      </c>
      <c r="I360">
        <v>188378</v>
      </c>
      <c r="J360" s="4" t="s">
        <v>21</v>
      </c>
      <c r="K360">
        <v>2019</v>
      </c>
    </row>
    <row r="361" spans="1:11" hidden="1" x14ac:dyDescent="0.3">
      <c r="A361" s="4" t="s">
        <v>17</v>
      </c>
      <c r="B361" s="4" t="s">
        <v>41</v>
      </c>
      <c r="C361" s="4" t="s">
        <v>11</v>
      </c>
      <c r="D361" s="4" t="s">
        <v>26</v>
      </c>
      <c r="E361">
        <v>994</v>
      </c>
      <c r="F361">
        <v>125</v>
      </c>
      <c r="G361">
        <v>124250</v>
      </c>
      <c r="H361">
        <v>115552.5</v>
      </c>
      <c r="I361">
        <v>-3727.5</v>
      </c>
      <c r="J361" s="4" t="s">
        <v>21</v>
      </c>
      <c r="K361">
        <v>2018</v>
      </c>
    </row>
    <row r="362" spans="1:11" hidden="1" x14ac:dyDescent="0.3">
      <c r="A362" s="4" t="s">
        <v>6</v>
      </c>
      <c r="B362" s="4" t="s">
        <v>40</v>
      </c>
      <c r="C362" s="4" t="s">
        <v>11</v>
      </c>
      <c r="D362" s="4" t="s">
        <v>26</v>
      </c>
      <c r="E362">
        <v>1118</v>
      </c>
      <c r="F362">
        <v>20</v>
      </c>
      <c r="G362">
        <v>22360</v>
      </c>
      <c r="H362">
        <v>20794.8</v>
      </c>
      <c r="I362">
        <v>9614.7999999999993</v>
      </c>
      <c r="J362" s="4" t="s">
        <v>16</v>
      </c>
      <c r="K362">
        <v>2019</v>
      </c>
    </row>
    <row r="363" spans="1:11" hidden="1" x14ac:dyDescent="0.3">
      <c r="A363" s="4" t="s">
        <v>12</v>
      </c>
      <c r="B363" s="4" t="s">
        <v>42</v>
      </c>
      <c r="C363" s="4" t="s">
        <v>11</v>
      </c>
      <c r="D363" s="4" t="s">
        <v>26</v>
      </c>
      <c r="E363">
        <v>1372</v>
      </c>
      <c r="F363">
        <v>300</v>
      </c>
      <c r="G363">
        <v>411600</v>
      </c>
      <c r="H363">
        <v>382788</v>
      </c>
      <c r="I363">
        <v>39788</v>
      </c>
      <c r="J363" s="4" t="s">
        <v>15</v>
      </c>
      <c r="K363">
        <v>2019</v>
      </c>
    </row>
    <row r="364" spans="1:11" x14ac:dyDescent="0.3">
      <c r="A364" s="4" t="s">
        <v>6</v>
      </c>
      <c r="B364" s="4" t="s">
        <v>40</v>
      </c>
      <c r="C364" s="4" t="s">
        <v>8</v>
      </c>
      <c r="D364" s="4" t="s">
        <v>26</v>
      </c>
      <c r="E364">
        <v>488</v>
      </c>
      <c r="F364">
        <v>7</v>
      </c>
      <c r="G364">
        <v>3416</v>
      </c>
      <c r="H364">
        <v>3142.72</v>
      </c>
      <c r="I364">
        <v>702.72</v>
      </c>
      <c r="J364" s="4" t="s">
        <v>7</v>
      </c>
      <c r="K364">
        <v>2019</v>
      </c>
    </row>
    <row r="365" spans="1:11" hidden="1" x14ac:dyDescent="0.3">
      <c r="A365" s="4" t="s">
        <v>6</v>
      </c>
      <c r="B365" s="4" t="s">
        <v>42</v>
      </c>
      <c r="C365" s="4" t="s">
        <v>8</v>
      </c>
      <c r="D365" s="4" t="s">
        <v>26</v>
      </c>
      <c r="E365">
        <v>1282</v>
      </c>
      <c r="F365">
        <v>20</v>
      </c>
      <c r="G365">
        <v>25640</v>
      </c>
      <c r="H365">
        <v>23588.799999999999</v>
      </c>
      <c r="I365">
        <v>10768.8</v>
      </c>
      <c r="J365" s="4" t="s">
        <v>25</v>
      </c>
      <c r="K365">
        <v>2019</v>
      </c>
    </row>
    <row r="366" spans="1:11" hidden="1" x14ac:dyDescent="0.3">
      <c r="A366" s="4" t="s">
        <v>6</v>
      </c>
      <c r="B366" s="4" t="s">
        <v>40</v>
      </c>
      <c r="C366" s="4" t="s">
        <v>5</v>
      </c>
      <c r="D366" s="4" t="s">
        <v>26</v>
      </c>
      <c r="E366">
        <v>257</v>
      </c>
      <c r="F366">
        <v>7</v>
      </c>
      <c r="G366">
        <v>1799</v>
      </c>
      <c r="H366">
        <v>1655.08</v>
      </c>
      <c r="I366">
        <v>370.08</v>
      </c>
      <c r="J366" s="4" t="s">
        <v>0</v>
      </c>
      <c r="K366">
        <v>2019</v>
      </c>
    </row>
    <row r="367" spans="1:11" hidden="1" x14ac:dyDescent="0.3">
      <c r="A367" s="4" t="s">
        <v>6</v>
      </c>
      <c r="B367" s="4" t="s">
        <v>42</v>
      </c>
      <c r="C367" s="4" t="s">
        <v>11</v>
      </c>
      <c r="D367" s="4" t="s">
        <v>26</v>
      </c>
      <c r="E367">
        <v>1282</v>
      </c>
      <c r="F367">
        <v>20</v>
      </c>
      <c r="G367">
        <v>25640</v>
      </c>
      <c r="H367">
        <v>23588.799999999999</v>
      </c>
      <c r="I367">
        <v>10768.8</v>
      </c>
      <c r="J367" s="4" t="s">
        <v>25</v>
      </c>
      <c r="K367">
        <v>2019</v>
      </c>
    </row>
    <row r="368" spans="1:11" hidden="1" x14ac:dyDescent="0.3">
      <c r="A368" s="4" t="s">
        <v>17</v>
      </c>
      <c r="B368" s="4" t="s">
        <v>9</v>
      </c>
      <c r="C368" s="4" t="s">
        <v>23</v>
      </c>
      <c r="D368" s="4" t="s">
        <v>26</v>
      </c>
      <c r="E368">
        <v>1540</v>
      </c>
      <c r="F368">
        <v>125</v>
      </c>
      <c r="G368">
        <v>192500</v>
      </c>
      <c r="H368">
        <v>177100</v>
      </c>
      <c r="I368">
        <v>-7700</v>
      </c>
      <c r="J368" s="4" t="s">
        <v>22</v>
      </c>
      <c r="K368">
        <v>2019</v>
      </c>
    </row>
    <row r="369" spans="1:11" x14ac:dyDescent="0.3">
      <c r="A369" s="4" t="s">
        <v>18</v>
      </c>
      <c r="B369" s="4" t="s">
        <v>14</v>
      </c>
      <c r="C369" s="4" t="s">
        <v>23</v>
      </c>
      <c r="D369" s="4" t="s">
        <v>26</v>
      </c>
      <c r="E369">
        <v>490</v>
      </c>
      <c r="F369">
        <v>15</v>
      </c>
      <c r="G369">
        <v>7350</v>
      </c>
      <c r="H369">
        <v>6762</v>
      </c>
      <c r="I369">
        <v>1862</v>
      </c>
      <c r="J369" s="4" t="s">
        <v>16</v>
      </c>
      <c r="K369">
        <v>2019</v>
      </c>
    </row>
    <row r="370" spans="1:11" hidden="1" x14ac:dyDescent="0.3">
      <c r="A370" s="4" t="s">
        <v>6</v>
      </c>
      <c r="B370" s="4" t="s">
        <v>9</v>
      </c>
      <c r="C370" s="4" t="s">
        <v>23</v>
      </c>
      <c r="D370" s="4" t="s">
        <v>26</v>
      </c>
      <c r="E370">
        <v>1362</v>
      </c>
      <c r="F370">
        <v>350</v>
      </c>
      <c r="G370">
        <v>476700</v>
      </c>
      <c r="H370">
        <v>438564</v>
      </c>
      <c r="I370">
        <v>84444</v>
      </c>
      <c r="J370" s="4" t="s">
        <v>15</v>
      </c>
      <c r="K370">
        <v>2019</v>
      </c>
    </row>
    <row r="371" spans="1:11" x14ac:dyDescent="0.3">
      <c r="A371" s="4" t="s">
        <v>18</v>
      </c>
      <c r="B371" s="4" t="s">
        <v>14</v>
      </c>
      <c r="C371" s="4" t="s">
        <v>8</v>
      </c>
      <c r="D371" s="4" t="s">
        <v>26</v>
      </c>
      <c r="E371">
        <v>2501</v>
      </c>
      <c r="F371">
        <v>15</v>
      </c>
      <c r="G371">
        <v>37515</v>
      </c>
      <c r="H371">
        <v>34513.800000000003</v>
      </c>
      <c r="I371">
        <v>9503.7999999999993</v>
      </c>
      <c r="J371" s="4" t="s">
        <v>13</v>
      </c>
      <c r="K371">
        <v>2019</v>
      </c>
    </row>
    <row r="372" spans="1:11" x14ac:dyDescent="0.3">
      <c r="A372" s="4" t="s">
        <v>6</v>
      </c>
      <c r="B372" s="4" t="s">
        <v>40</v>
      </c>
      <c r="C372" s="4" t="s">
        <v>8</v>
      </c>
      <c r="D372" s="4" t="s">
        <v>26</v>
      </c>
      <c r="E372">
        <v>708</v>
      </c>
      <c r="F372">
        <v>20</v>
      </c>
      <c r="G372">
        <v>14160</v>
      </c>
      <c r="H372">
        <v>13027.2</v>
      </c>
      <c r="I372">
        <v>5947.2</v>
      </c>
      <c r="J372" s="4" t="s">
        <v>25</v>
      </c>
      <c r="K372">
        <v>2019</v>
      </c>
    </row>
    <row r="373" spans="1:11" x14ac:dyDescent="0.3">
      <c r="A373" s="4" t="s">
        <v>6</v>
      </c>
      <c r="B373" s="4" t="s">
        <v>41</v>
      </c>
      <c r="C373" s="4" t="s">
        <v>8</v>
      </c>
      <c r="D373" s="4" t="s">
        <v>26</v>
      </c>
      <c r="E373">
        <v>645</v>
      </c>
      <c r="F373">
        <v>20</v>
      </c>
      <c r="G373">
        <v>12900</v>
      </c>
      <c r="H373">
        <v>11868</v>
      </c>
      <c r="I373">
        <v>5418</v>
      </c>
      <c r="J373" s="4" t="s">
        <v>19</v>
      </c>
      <c r="K373">
        <v>2019</v>
      </c>
    </row>
    <row r="374" spans="1:11" x14ac:dyDescent="0.3">
      <c r="A374" s="4" t="s">
        <v>12</v>
      </c>
      <c r="B374" s="4" t="s">
        <v>14</v>
      </c>
      <c r="C374" s="4" t="s">
        <v>8</v>
      </c>
      <c r="D374" s="4" t="s">
        <v>26</v>
      </c>
      <c r="E374">
        <v>1562</v>
      </c>
      <c r="F374">
        <v>300</v>
      </c>
      <c r="G374">
        <v>468600</v>
      </c>
      <c r="H374">
        <v>431112</v>
      </c>
      <c r="I374">
        <v>40612</v>
      </c>
      <c r="J374" s="4" t="s">
        <v>22</v>
      </c>
      <c r="K374">
        <v>2019</v>
      </c>
    </row>
    <row r="375" spans="1:11" x14ac:dyDescent="0.3">
      <c r="A375" s="4" t="s">
        <v>12</v>
      </c>
      <c r="B375" s="4" t="s">
        <v>40</v>
      </c>
      <c r="C375" s="4" t="s">
        <v>8</v>
      </c>
      <c r="D375" s="4" t="s">
        <v>26</v>
      </c>
      <c r="E375">
        <v>1283</v>
      </c>
      <c r="F375">
        <v>300</v>
      </c>
      <c r="G375">
        <v>384900</v>
      </c>
      <c r="H375">
        <v>354108</v>
      </c>
      <c r="I375">
        <v>33358</v>
      </c>
      <c r="J375" s="4" t="s">
        <v>21</v>
      </c>
      <c r="K375">
        <v>2018</v>
      </c>
    </row>
    <row r="376" spans="1:11" x14ac:dyDescent="0.3">
      <c r="A376" s="4" t="s">
        <v>18</v>
      </c>
      <c r="B376" s="4" t="s">
        <v>41</v>
      </c>
      <c r="C376" s="4" t="s">
        <v>8</v>
      </c>
      <c r="D376" s="4" t="s">
        <v>26</v>
      </c>
      <c r="E376">
        <v>711</v>
      </c>
      <c r="F376">
        <v>15</v>
      </c>
      <c r="G376">
        <v>10665</v>
      </c>
      <c r="H376">
        <v>9811.7999999999993</v>
      </c>
      <c r="I376">
        <v>2701.8</v>
      </c>
      <c r="J376" s="4" t="s">
        <v>15</v>
      </c>
      <c r="K376">
        <v>2019</v>
      </c>
    </row>
    <row r="377" spans="1:11" hidden="1" x14ac:dyDescent="0.3">
      <c r="A377" s="4" t="s">
        <v>17</v>
      </c>
      <c r="B377" s="4" t="s">
        <v>9</v>
      </c>
      <c r="C377" s="4" t="s">
        <v>5</v>
      </c>
      <c r="D377" s="4" t="s">
        <v>26</v>
      </c>
      <c r="E377">
        <v>1114</v>
      </c>
      <c r="F377">
        <v>125</v>
      </c>
      <c r="G377">
        <v>139250</v>
      </c>
      <c r="H377">
        <v>128110</v>
      </c>
      <c r="I377">
        <v>-5570</v>
      </c>
      <c r="J377" s="4" t="s">
        <v>13</v>
      </c>
      <c r="K377">
        <v>2019</v>
      </c>
    </row>
    <row r="378" spans="1:11" hidden="1" x14ac:dyDescent="0.3">
      <c r="A378" s="4" t="s">
        <v>6</v>
      </c>
      <c r="B378" s="4" t="s">
        <v>41</v>
      </c>
      <c r="C378" s="4" t="s">
        <v>5</v>
      </c>
      <c r="D378" s="4" t="s">
        <v>26</v>
      </c>
      <c r="E378">
        <v>1259</v>
      </c>
      <c r="F378">
        <v>7</v>
      </c>
      <c r="G378">
        <v>8813</v>
      </c>
      <c r="H378">
        <v>8107.96</v>
      </c>
      <c r="I378">
        <v>1812.96</v>
      </c>
      <c r="J378" s="4" t="s">
        <v>4</v>
      </c>
      <c r="K378">
        <v>2019</v>
      </c>
    </row>
    <row r="379" spans="1:11" hidden="1" x14ac:dyDescent="0.3">
      <c r="A379" s="4" t="s">
        <v>6</v>
      </c>
      <c r="B379" s="4" t="s">
        <v>41</v>
      </c>
      <c r="C379" s="4" t="s">
        <v>5</v>
      </c>
      <c r="D379" s="4" t="s">
        <v>26</v>
      </c>
      <c r="E379">
        <v>1095</v>
      </c>
      <c r="F379">
        <v>7</v>
      </c>
      <c r="G379">
        <v>7665</v>
      </c>
      <c r="H379">
        <v>7051.8</v>
      </c>
      <c r="I379">
        <v>1576.8</v>
      </c>
      <c r="J379" s="4" t="s">
        <v>0</v>
      </c>
      <c r="K379">
        <v>2019</v>
      </c>
    </row>
    <row r="380" spans="1:11" hidden="1" x14ac:dyDescent="0.3">
      <c r="A380" s="4" t="s">
        <v>6</v>
      </c>
      <c r="B380" s="4" t="s">
        <v>41</v>
      </c>
      <c r="C380" s="4" t="s">
        <v>5</v>
      </c>
      <c r="D380" s="4" t="s">
        <v>26</v>
      </c>
      <c r="E380">
        <v>1366</v>
      </c>
      <c r="F380">
        <v>20</v>
      </c>
      <c r="G380">
        <v>27320</v>
      </c>
      <c r="H380">
        <v>25134.400000000001</v>
      </c>
      <c r="I380">
        <v>11474.4</v>
      </c>
      <c r="J380" s="4" t="s">
        <v>25</v>
      </c>
      <c r="K380">
        <v>2019</v>
      </c>
    </row>
    <row r="381" spans="1:11" hidden="1" x14ac:dyDescent="0.3">
      <c r="A381" s="4" t="s">
        <v>12</v>
      </c>
      <c r="B381" s="4" t="s">
        <v>9</v>
      </c>
      <c r="C381" s="4" t="s">
        <v>5</v>
      </c>
      <c r="D381" s="4" t="s">
        <v>26</v>
      </c>
      <c r="E381">
        <v>2460</v>
      </c>
      <c r="F381">
        <v>300</v>
      </c>
      <c r="G381">
        <v>738000</v>
      </c>
      <c r="H381">
        <v>678960</v>
      </c>
      <c r="I381">
        <v>63960</v>
      </c>
      <c r="J381" s="4" t="s">
        <v>25</v>
      </c>
      <c r="K381">
        <v>2019</v>
      </c>
    </row>
    <row r="382" spans="1:11" hidden="1" x14ac:dyDescent="0.3">
      <c r="A382" s="4" t="s">
        <v>6</v>
      </c>
      <c r="B382" s="4" t="s">
        <v>42</v>
      </c>
      <c r="C382" s="4" t="s">
        <v>5</v>
      </c>
      <c r="D382" s="4" t="s">
        <v>26</v>
      </c>
      <c r="E382">
        <v>678</v>
      </c>
      <c r="F382">
        <v>7</v>
      </c>
      <c r="G382">
        <v>4746</v>
      </c>
      <c r="H382">
        <v>4366.32</v>
      </c>
      <c r="I382">
        <v>976.32</v>
      </c>
      <c r="J382" s="4" t="s">
        <v>22</v>
      </c>
      <c r="K382">
        <v>2019</v>
      </c>
    </row>
    <row r="383" spans="1:11" hidden="1" x14ac:dyDescent="0.3">
      <c r="A383" s="4" t="s">
        <v>6</v>
      </c>
      <c r="B383" s="4" t="s">
        <v>41</v>
      </c>
      <c r="C383" s="4" t="s">
        <v>5</v>
      </c>
      <c r="D383" s="4" t="s">
        <v>26</v>
      </c>
      <c r="E383">
        <v>1598</v>
      </c>
      <c r="F383">
        <v>7</v>
      </c>
      <c r="G383">
        <v>11186</v>
      </c>
      <c r="H383">
        <v>10291.120000000001</v>
      </c>
      <c r="I383">
        <v>2301.12</v>
      </c>
      <c r="J383" s="4" t="s">
        <v>22</v>
      </c>
      <c r="K383">
        <v>2019</v>
      </c>
    </row>
    <row r="384" spans="1:11" hidden="1" x14ac:dyDescent="0.3">
      <c r="A384" s="4" t="s">
        <v>6</v>
      </c>
      <c r="B384" s="4" t="s">
        <v>41</v>
      </c>
      <c r="C384" s="4" t="s">
        <v>5</v>
      </c>
      <c r="D384" s="4" t="s">
        <v>26</v>
      </c>
      <c r="E384">
        <v>2409</v>
      </c>
      <c r="F384">
        <v>7</v>
      </c>
      <c r="G384">
        <v>16863</v>
      </c>
      <c r="H384">
        <v>15513.96</v>
      </c>
      <c r="I384">
        <v>3468.96</v>
      </c>
      <c r="J384" s="4" t="s">
        <v>21</v>
      </c>
      <c r="K384">
        <v>2018</v>
      </c>
    </row>
    <row r="385" spans="1:11" hidden="1" x14ac:dyDescent="0.3">
      <c r="A385" s="4" t="s">
        <v>6</v>
      </c>
      <c r="B385" s="4" t="s">
        <v>41</v>
      </c>
      <c r="C385" s="4" t="s">
        <v>5</v>
      </c>
      <c r="D385" s="4" t="s">
        <v>26</v>
      </c>
      <c r="E385">
        <v>1934</v>
      </c>
      <c r="F385">
        <v>20</v>
      </c>
      <c r="G385">
        <v>38680</v>
      </c>
      <c r="H385">
        <v>35585.599999999999</v>
      </c>
      <c r="I385">
        <v>16245.6</v>
      </c>
      <c r="J385" s="4" t="s">
        <v>21</v>
      </c>
      <c r="K385">
        <v>2019</v>
      </c>
    </row>
    <row r="386" spans="1:11" hidden="1" x14ac:dyDescent="0.3">
      <c r="A386" s="4" t="s">
        <v>6</v>
      </c>
      <c r="B386" s="4" t="s">
        <v>9</v>
      </c>
      <c r="C386" s="4" t="s">
        <v>5</v>
      </c>
      <c r="D386" s="4" t="s">
        <v>26</v>
      </c>
      <c r="E386">
        <v>2993</v>
      </c>
      <c r="F386">
        <v>20</v>
      </c>
      <c r="G386">
        <v>59860</v>
      </c>
      <c r="H386">
        <v>55071.199999999997</v>
      </c>
      <c r="I386">
        <v>25141.200000000001</v>
      </c>
      <c r="J386" s="4" t="s">
        <v>21</v>
      </c>
      <c r="K386">
        <v>2019</v>
      </c>
    </row>
    <row r="387" spans="1:11" hidden="1" x14ac:dyDescent="0.3">
      <c r="A387" s="4" t="s">
        <v>6</v>
      </c>
      <c r="B387" s="4" t="s">
        <v>41</v>
      </c>
      <c r="C387" s="4" t="s">
        <v>5</v>
      </c>
      <c r="D387" s="4" t="s">
        <v>26</v>
      </c>
      <c r="E387">
        <v>2146</v>
      </c>
      <c r="F387">
        <v>350</v>
      </c>
      <c r="G387">
        <v>751100</v>
      </c>
      <c r="H387">
        <v>691012</v>
      </c>
      <c r="I387">
        <v>133052</v>
      </c>
      <c r="J387" s="4" t="s">
        <v>16</v>
      </c>
      <c r="K387">
        <v>2018</v>
      </c>
    </row>
    <row r="388" spans="1:11" hidden="1" x14ac:dyDescent="0.3">
      <c r="A388" s="4" t="s">
        <v>6</v>
      </c>
      <c r="B388" s="4" t="s">
        <v>9</v>
      </c>
      <c r="C388" s="4" t="s">
        <v>5</v>
      </c>
      <c r="D388" s="4" t="s">
        <v>26</v>
      </c>
      <c r="E388">
        <v>1946</v>
      </c>
      <c r="F388">
        <v>7</v>
      </c>
      <c r="G388">
        <v>13622</v>
      </c>
      <c r="H388">
        <v>12532.24</v>
      </c>
      <c r="I388">
        <v>2802.24</v>
      </c>
      <c r="J388" s="4" t="s">
        <v>15</v>
      </c>
      <c r="K388">
        <v>2018</v>
      </c>
    </row>
    <row r="389" spans="1:11" hidden="1" x14ac:dyDescent="0.3">
      <c r="A389" s="4" t="s">
        <v>6</v>
      </c>
      <c r="B389" s="4" t="s">
        <v>9</v>
      </c>
      <c r="C389" s="4" t="s">
        <v>5</v>
      </c>
      <c r="D389" s="4" t="s">
        <v>26</v>
      </c>
      <c r="E389">
        <v>1362</v>
      </c>
      <c r="F389">
        <v>350</v>
      </c>
      <c r="G389">
        <v>476700</v>
      </c>
      <c r="H389">
        <v>438564</v>
      </c>
      <c r="I389">
        <v>84444</v>
      </c>
      <c r="J389" s="4" t="s">
        <v>15</v>
      </c>
      <c r="K389">
        <v>2019</v>
      </c>
    </row>
    <row r="390" spans="1:11" hidden="1" x14ac:dyDescent="0.3">
      <c r="A390" s="4" t="s">
        <v>3</v>
      </c>
      <c r="B390" s="4" t="s">
        <v>40</v>
      </c>
      <c r="C390" s="4" t="s">
        <v>20</v>
      </c>
      <c r="D390" s="4" t="s">
        <v>26</v>
      </c>
      <c r="E390">
        <v>598</v>
      </c>
      <c r="F390">
        <v>12</v>
      </c>
      <c r="G390">
        <v>7176</v>
      </c>
      <c r="H390">
        <v>6601.92</v>
      </c>
      <c r="I390">
        <v>4807.92</v>
      </c>
      <c r="J390" s="4" t="s">
        <v>13</v>
      </c>
      <c r="K390">
        <v>2019</v>
      </c>
    </row>
    <row r="391" spans="1:11" hidden="1" x14ac:dyDescent="0.3">
      <c r="A391" s="4" t="s">
        <v>6</v>
      </c>
      <c r="B391" s="4" t="s">
        <v>42</v>
      </c>
      <c r="C391" s="4" t="s">
        <v>20</v>
      </c>
      <c r="D391" s="4" t="s">
        <v>26</v>
      </c>
      <c r="E391">
        <v>2907</v>
      </c>
      <c r="F391">
        <v>7</v>
      </c>
      <c r="G391">
        <v>20349</v>
      </c>
      <c r="H391">
        <v>18721.080000000002</v>
      </c>
      <c r="I391">
        <v>4186.08</v>
      </c>
      <c r="J391" s="4" t="s">
        <v>25</v>
      </c>
      <c r="K391">
        <v>2019</v>
      </c>
    </row>
    <row r="392" spans="1:11" hidden="1" x14ac:dyDescent="0.3">
      <c r="A392" s="4" t="s">
        <v>6</v>
      </c>
      <c r="B392" s="4" t="s">
        <v>41</v>
      </c>
      <c r="C392" s="4" t="s">
        <v>20</v>
      </c>
      <c r="D392" s="4" t="s">
        <v>26</v>
      </c>
      <c r="E392">
        <v>2338</v>
      </c>
      <c r="F392">
        <v>7</v>
      </c>
      <c r="G392">
        <v>16366</v>
      </c>
      <c r="H392">
        <v>15056.72</v>
      </c>
      <c r="I392">
        <v>3366.72</v>
      </c>
      <c r="J392" s="4" t="s">
        <v>25</v>
      </c>
      <c r="K392">
        <v>2019</v>
      </c>
    </row>
    <row r="393" spans="1:11" hidden="1" x14ac:dyDescent="0.3">
      <c r="A393" s="4" t="s">
        <v>12</v>
      </c>
      <c r="B393" s="4" t="s">
        <v>14</v>
      </c>
      <c r="C393" s="4" t="s">
        <v>20</v>
      </c>
      <c r="D393" s="4" t="s">
        <v>26</v>
      </c>
      <c r="E393">
        <v>386</v>
      </c>
      <c r="F393">
        <v>300</v>
      </c>
      <c r="G393">
        <v>115800</v>
      </c>
      <c r="H393">
        <v>106536</v>
      </c>
      <c r="I393">
        <v>10036</v>
      </c>
      <c r="J393" s="4" t="s">
        <v>16</v>
      </c>
      <c r="K393">
        <v>2018</v>
      </c>
    </row>
    <row r="394" spans="1:11" hidden="1" x14ac:dyDescent="0.3">
      <c r="A394" s="4" t="s">
        <v>12</v>
      </c>
      <c r="B394" s="4" t="s">
        <v>9</v>
      </c>
      <c r="C394" s="4" t="s">
        <v>20</v>
      </c>
      <c r="D394" s="4" t="s">
        <v>26</v>
      </c>
      <c r="E394">
        <v>635</v>
      </c>
      <c r="F394">
        <v>300</v>
      </c>
      <c r="G394">
        <v>190500</v>
      </c>
      <c r="H394">
        <v>175260</v>
      </c>
      <c r="I394">
        <v>16510</v>
      </c>
      <c r="J394" s="4" t="s">
        <v>15</v>
      </c>
      <c r="K394">
        <v>2019</v>
      </c>
    </row>
    <row r="395" spans="1:11" hidden="1" x14ac:dyDescent="0.3">
      <c r="A395" s="4" t="s">
        <v>6</v>
      </c>
      <c r="B395" s="4" t="s">
        <v>14</v>
      </c>
      <c r="C395" s="4" t="s">
        <v>2</v>
      </c>
      <c r="D395" s="4" t="s">
        <v>26</v>
      </c>
      <c r="E395">
        <v>574.5</v>
      </c>
      <c r="F395">
        <v>350</v>
      </c>
      <c r="G395">
        <v>201075</v>
      </c>
      <c r="H395">
        <v>184989</v>
      </c>
      <c r="I395">
        <v>35619</v>
      </c>
      <c r="J395" s="4" t="s">
        <v>4</v>
      </c>
      <c r="K395">
        <v>2019</v>
      </c>
    </row>
    <row r="396" spans="1:11" hidden="1" x14ac:dyDescent="0.3">
      <c r="A396" s="4" t="s">
        <v>6</v>
      </c>
      <c r="B396" s="4" t="s">
        <v>41</v>
      </c>
      <c r="C396" s="4" t="s">
        <v>2</v>
      </c>
      <c r="D396" s="4" t="s">
        <v>26</v>
      </c>
      <c r="E396">
        <v>2338</v>
      </c>
      <c r="F396">
        <v>7</v>
      </c>
      <c r="G396">
        <v>16366</v>
      </c>
      <c r="H396">
        <v>15056.72</v>
      </c>
      <c r="I396">
        <v>3366.72</v>
      </c>
      <c r="J396" s="4" t="s">
        <v>25</v>
      </c>
      <c r="K396">
        <v>2019</v>
      </c>
    </row>
    <row r="397" spans="1:11" hidden="1" x14ac:dyDescent="0.3">
      <c r="A397" s="4" t="s">
        <v>6</v>
      </c>
      <c r="B397" s="4" t="s">
        <v>14</v>
      </c>
      <c r="C397" s="4" t="s">
        <v>2</v>
      </c>
      <c r="D397" s="4" t="s">
        <v>26</v>
      </c>
      <c r="E397">
        <v>381</v>
      </c>
      <c r="F397">
        <v>350</v>
      </c>
      <c r="G397">
        <v>133350</v>
      </c>
      <c r="H397">
        <v>122682</v>
      </c>
      <c r="I397">
        <v>23622</v>
      </c>
      <c r="J397" s="4" t="s">
        <v>22</v>
      </c>
      <c r="K397">
        <v>2019</v>
      </c>
    </row>
    <row r="398" spans="1:11" hidden="1" x14ac:dyDescent="0.3">
      <c r="A398" s="4" t="s">
        <v>6</v>
      </c>
      <c r="B398" s="4" t="s">
        <v>41</v>
      </c>
      <c r="C398" s="4" t="s">
        <v>2</v>
      </c>
      <c r="D398" s="4" t="s">
        <v>26</v>
      </c>
      <c r="E398">
        <v>422</v>
      </c>
      <c r="F398">
        <v>350</v>
      </c>
      <c r="G398">
        <v>147700</v>
      </c>
      <c r="H398">
        <v>135884</v>
      </c>
      <c r="I398">
        <v>26164</v>
      </c>
      <c r="J398" s="4" t="s">
        <v>22</v>
      </c>
      <c r="K398">
        <v>2019</v>
      </c>
    </row>
    <row r="399" spans="1:11" hidden="1" x14ac:dyDescent="0.3">
      <c r="A399" s="4" t="s">
        <v>12</v>
      </c>
      <c r="B399" s="4" t="s">
        <v>40</v>
      </c>
      <c r="C399" s="4" t="s">
        <v>2</v>
      </c>
      <c r="D399" s="4" t="s">
        <v>26</v>
      </c>
      <c r="E399">
        <v>2134</v>
      </c>
      <c r="F399">
        <v>300</v>
      </c>
      <c r="G399">
        <v>640200</v>
      </c>
      <c r="H399">
        <v>588984</v>
      </c>
      <c r="I399">
        <v>55484</v>
      </c>
      <c r="J399" s="4" t="s">
        <v>21</v>
      </c>
      <c r="K399">
        <v>2019</v>
      </c>
    </row>
    <row r="400" spans="1:11" hidden="1" x14ac:dyDescent="0.3">
      <c r="A400" s="4" t="s">
        <v>12</v>
      </c>
      <c r="B400" s="4" t="s">
        <v>42</v>
      </c>
      <c r="C400" s="4" t="s">
        <v>2</v>
      </c>
      <c r="D400" s="4" t="s">
        <v>26</v>
      </c>
      <c r="E400">
        <v>808</v>
      </c>
      <c r="F400">
        <v>300</v>
      </c>
      <c r="G400">
        <v>242400</v>
      </c>
      <c r="H400">
        <v>223008</v>
      </c>
      <c r="I400">
        <v>21008</v>
      </c>
      <c r="J400" s="4" t="s">
        <v>15</v>
      </c>
      <c r="K400">
        <v>2018</v>
      </c>
    </row>
    <row r="401" spans="1:11" hidden="1" x14ac:dyDescent="0.3">
      <c r="A401" s="4" t="s">
        <v>6</v>
      </c>
      <c r="B401" s="4" t="s">
        <v>40</v>
      </c>
      <c r="C401" s="4" t="s">
        <v>11</v>
      </c>
      <c r="D401" s="4" t="s">
        <v>26</v>
      </c>
      <c r="E401">
        <v>708</v>
      </c>
      <c r="F401">
        <v>20</v>
      </c>
      <c r="G401">
        <v>14160</v>
      </c>
      <c r="H401">
        <v>13027.2</v>
      </c>
      <c r="I401">
        <v>5947.2</v>
      </c>
      <c r="J401" s="4" t="s">
        <v>25</v>
      </c>
      <c r="K401">
        <v>2019</v>
      </c>
    </row>
    <row r="402" spans="1:11" hidden="1" x14ac:dyDescent="0.3">
      <c r="A402" s="4" t="s">
        <v>6</v>
      </c>
      <c r="B402" s="4" t="s">
        <v>42</v>
      </c>
      <c r="C402" s="4" t="s">
        <v>11</v>
      </c>
      <c r="D402" s="4" t="s">
        <v>26</v>
      </c>
      <c r="E402">
        <v>2907</v>
      </c>
      <c r="F402">
        <v>7</v>
      </c>
      <c r="G402">
        <v>20349</v>
      </c>
      <c r="H402">
        <v>18721.080000000002</v>
      </c>
      <c r="I402">
        <v>4186.08</v>
      </c>
      <c r="J402" s="4" t="s">
        <v>25</v>
      </c>
      <c r="K402">
        <v>2019</v>
      </c>
    </row>
    <row r="403" spans="1:11" hidden="1" x14ac:dyDescent="0.3">
      <c r="A403" s="4" t="s">
        <v>6</v>
      </c>
      <c r="B403" s="4" t="s">
        <v>41</v>
      </c>
      <c r="C403" s="4" t="s">
        <v>11</v>
      </c>
      <c r="D403" s="4" t="s">
        <v>26</v>
      </c>
      <c r="E403">
        <v>1366</v>
      </c>
      <c r="F403">
        <v>20</v>
      </c>
      <c r="G403">
        <v>27320</v>
      </c>
      <c r="H403">
        <v>25134.400000000001</v>
      </c>
      <c r="I403">
        <v>11474.4</v>
      </c>
      <c r="J403" s="4" t="s">
        <v>25</v>
      </c>
      <c r="K403">
        <v>2019</v>
      </c>
    </row>
    <row r="404" spans="1:11" hidden="1" x14ac:dyDescent="0.3">
      <c r="A404" s="4" t="s">
        <v>12</v>
      </c>
      <c r="B404" s="4" t="s">
        <v>9</v>
      </c>
      <c r="C404" s="4" t="s">
        <v>11</v>
      </c>
      <c r="D404" s="4" t="s">
        <v>26</v>
      </c>
      <c r="E404">
        <v>2460</v>
      </c>
      <c r="F404">
        <v>300</v>
      </c>
      <c r="G404">
        <v>738000</v>
      </c>
      <c r="H404">
        <v>678960</v>
      </c>
      <c r="I404">
        <v>63960</v>
      </c>
      <c r="J404" s="4" t="s">
        <v>25</v>
      </c>
      <c r="K404">
        <v>2019</v>
      </c>
    </row>
    <row r="405" spans="1:11" hidden="1" x14ac:dyDescent="0.3">
      <c r="A405" s="4" t="s">
        <v>6</v>
      </c>
      <c r="B405" s="4" t="s">
        <v>41</v>
      </c>
      <c r="C405" s="4" t="s">
        <v>11</v>
      </c>
      <c r="D405" s="4" t="s">
        <v>26</v>
      </c>
      <c r="E405">
        <v>1520</v>
      </c>
      <c r="F405">
        <v>20</v>
      </c>
      <c r="G405">
        <v>30400</v>
      </c>
      <c r="H405">
        <v>27968</v>
      </c>
      <c r="I405">
        <v>12768</v>
      </c>
      <c r="J405" s="4" t="s">
        <v>16</v>
      </c>
      <c r="K405">
        <v>2019</v>
      </c>
    </row>
    <row r="406" spans="1:11" hidden="1" x14ac:dyDescent="0.3">
      <c r="A406" s="4" t="s">
        <v>18</v>
      </c>
      <c r="B406" s="4" t="s">
        <v>41</v>
      </c>
      <c r="C406" s="4" t="s">
        <v>11</v>
      </c>
      <c r="D406" s="4" t="s">
        <v>26</v>
      </c>
      <c r="E406">
        <v>711</v>
      </c>
      <c r="F406">
        <v>15</v>
      </c>
      <c r="G406">
        <v>10665</v>
      </c>
      <c r="H406">
        <v>9811.7999999999993</v>
      </c>
      <c r="I406">
        <v>2701.8</v>
      </c>
      <c r="J406" s="4" t="s">
        <v>15</v>
      </c>
      <c r="K406">
        <v>2019</v>
      </c>
    </row>
    <row r="407" spans="1:11" hidden="1" x14ac:dyDescent="0.3">
      <c r="A407" s="4" t="s">
        <v>3</v>
      </c>
      <c r="B407" s="4" t="s">
        <v>9</v>
      </c>
      <c r="C407" s="4" t="s">
        <v>11</v>
      </c>
      <c r="D407" s="4" t="s">
        <v>26</v>
      </c>
      <c r="E407">
        <v>1375</v>
      </c>
      <c r="F407">
        <v>12</v>
      </c>
      <c r="G407">
        <v>16500</v>
      </c>
      <c r="H407">
        <v>15180</v>
      </c>
      <c r="I407">
        <v>11055</v>
      </c>
      <c r="J407" s="4" t="s">
        <v>15</v>
      </c>
      <c r="K407">
        <v>2018</v>
      </c>
    </row>
    <row r="408" spans="1:11" hidden="1" x14ac:dyDescent="0.3">
      <c r="A408" s="4" t="s">
        <v>12</v>
      </c>
      <c r="B408" s="4" t="s">
        <v>9</v>
      </c>
      <c r="C408" s="4" t="s">
        <v>11</v>
      </c>
      <c r="D408" s="4" t="s">
        <v>26</v>
      </c>
      <c r="E408">
        <v>635</v>
      </c>
      <c r="F408">
        <v>300</v>
      </c>
      <c r="G408">
        <v>190500</v>
      </c>
      <c r="H408">
        <v>175260</v>
      </c>
      <c r="I408">
        <v>16510</v>
      </c>
      <c r="J408" s="4" t="s">
        <v>15</v>
      </c>
      <c r="K408">
        <v>2019</v>
      </c>
    </row>
    <row r="409" spans="1:11" hidden="1" x14ac:dyDescent="0.3">
      <c r="A409" s="4" t="s">
        <v>6</v>
      </c>
      <c r="B409" s="4" t="s">
        <v>42</v>
      </c>
      <c r="C409" s="4" t="s">
        <v>2</v>
      </c>
      <c r="D409" s="4" t="s">
        <v>26</v>
      </c>
      <c r="E409">
        <v>436.5</v>
      </c>
      <c r="F409">
        <v>20</v>
      </c>
      <c r="G409">
        <v>8730</v>
      </c>
      <c r="H409">
        <v>8031.6</v>
      </c>
      <c r="I409">
        <v>3666.6</v>
      </c>
      <c r="J409" s="4" t="s">
        <v>19</v>
      </c>
      <c r="K409">
        <v>2019</v>
      </c>
    </row>
    <row r="410" spans="1:11" x14ac:dyDescent="0.3">
      <c r="A410" s="4" t="s">
        <v>12</v>
      </c>
      <c r="B410" s="4" t="s">
        <v>40</v>
      </c>
      <c r="C410" s="4" t="s">
        <v>23</v>
      </c>
      <c r="D410" s="4" t="s">
        <v>26</v>
      </c>
      <c r="E410">
        <v>1094</v>
      </c>
      <c r="F410">
        <v>300</v>
      </c>
      <c r="G410">
        <v>328200</v>
      </c>
      <c r="H410">
        <v>298662</v>
      </c>
      <c r="I410">
        <v>25162</v>
      </c>
      <c r="J410" s="4" t="s">
        <v>25</v>
      </c>
      <c r="K410">
        <v>2019</v>
      </c>
    </row>
    <row r="411" spans="1:11" hidden="1" x14ac:dyDescent="0.3">
      <c r="A411" s="4" t="s">
        <v>3</v>
      </c>
      <c r="B411" s="4" t="s">
        <v>9</v>
      </c>
      <c r="C411" s="4" t="s">
        <v>23</v>
      </c>
      <c r="D411" s="4" t="s">
        <v>26</v>
      </c>
      <c r="E411">
        <v>367</v>
      </c>
      <c r="F411">
        <v>12</v>
      </c>
      <c r="G411">
        <v>4404</v>
      </c>
      <c r="H411">
        <v>4007.64</v>
      </c>
      <c r="I411">
        <v>2906.64</v>
      </c>
      <c r="J411" s="4" t="s">
        <v>10</v>
      </c>
      <c r="K411">
        <v>2018</v>
      </c>
    </row>
    <row r="412" spans="1:11" x14ac:dyDescent="0.3">
      <c r="A412" s="4" t="s">
        <v>12</v>
      </c>
      <c r="B412" s="4" t="s">
        <v>40</v>
      </c>
      <c r="C412" s="4" t="s">
        <v>8</v>
      </c>
      <c r="D412" s="4" t="s">
        <v>26</v>
      </c>
      <c r="E412">
        <v>3802.5</v>
      </c>
      <c r="F412">
        <v>300</v>
      </c>
      <c r="G412">
        <v>1140750</v>
      </c>
      <c r="H412">
        <v>1038082.5</v>
      </c>
      <c r="I412">
        <v>87457.5</v>
      </c>
      <c r="J412" s="4" t="s">
        <v>4</v>
      </c>
      <c r="K412">
        <v>2019</v>
      </c>
    </row>
    <row r="413" spans="1:11" x14ac:dyDescent="0.3">
      <c r="A413" s="4" t="s">
        <v>6</v>
      </c>
      <c r="B413" s="4" t="s">
        <v>14</v>
      </c>
      <c r="C413" s="4" t="s">
        <v>8</v>
      </c>
      <c r="D413" s="4" t="s">
        <v>26</v>
      </c>
      <c r="E413">
        <v>1666</v>
      </c>
      <c r="F413">
        <v>350</v>
      </c>
      <c r="G413">
        <v>583100</v>
      </c>
      <c r="H413">
        <v>530621</v>
      </c>
      <c r="I413">
        <v>97461</v>
      </c>
      <c r="J413" s="4" t="s">
        <v>0</v>
      </c>
      <c r="K413">
        <v>2019</v>
      </c>
    </row>
    <row r="414" spans="1:11" x14ac:dyDescent="0.3">
      <c r="A414" s="4" t="s">
        <v>12</v>
      </c>
      <c r="B414" s="4" t="s">
        <v>14</v>
      </c>
      <c r="C414" s="4" t="s">
        <v>8</v>
      </c>
      <c r="D414" s="4" t="s">
        <v>26</v>
      </c>
      <c r="E414">
        <v>322</v>
      </c>
      <c r="F414">
        <v>300</v>
      </c>
      <c r="G414">
        <v>96600</v>
      </c>
      <c r="H414">
        <v>87906</v>
      </c>
      <c r="I414">
        <v>7406</v>
      </c>
      <c r="J414" s="4" t="s">
        <v>21</v>
      </c>
      <c r="K414">
        <v>2018</v>
      </c>
    </row>
    <row r="415" spans="1:11" x14ac:dyDescent="0.3">
      <c r="A415" s="4" t="s">
        <v>3</v>
      </c>
      <c r="B415" s="4" t="s">
        <v>40</v>
      </c>
      <c r="C415" s="4" t="s">
        <v>8</v>
      </c>
      <c r="D415" s="4" t="s">
        <v>26</v>
      </c>
      <c r="E415">
        <v>2321</v>
      </c>
      <c r="F415">
        <v>12</v>
      </c>
      <c r="G415">
        <v>27852</v>
      </c>
      <c r="H415">
        <v>25345.32</v>
      </c>
      <c r="I415">
        <v>18382.32</v>
      </c>
      <c r="J415" s="4" t="s">
        <v>16</v>
      </c>
      <c r="K415">
        <v>2019</v>
      </c>
    </row>
    <row r="416" spans="1:11" x14ac:dyDescent="0.3">
      <c r="A416" s="4" t="s">
        <v>17</v>
      </c>
      <c r="B416" s="4" t="s">
        <v>14</v>
      </c>
      <c r="C416" s="4" t="s">
        <v>8</v>
      </c>
      <c r="D416" s="4" t="s">
        <v>26</v>
      </c>
      <c r="E416">
        <v>1857</v>
      </c>
      <c r="F416">
        <v>125</v>
      </c>
      <c r="G416">
        <v>232125</v>
      </c>
      <c r="H416">
        <v>211233.75</v>
      </c>
      <c r="I416">
        <v>-11606.25</v>
      </c>
      <c r="J416" s="4" t="s">
        <v>16</v>
      </c>
      <c r="K416">
        <v>2018</v>
      </c>
    </row>
    <row r="417" spans="1:11" x14ac:dyDescent="0.3">
      <c r="A417" s="4" t="s">
        <v>6</v>
      </c>
      <c r="B417" s="4" t="s">
        <v>40</v>
      </c>
      <c r="C417" s="4" t="s">
        <v>8</v>
      </c>
      <c r="D417" s="4" t="s">
        <v>26</v>
      </c>
      <c r="E417">
        <v>1611</v>
      </c>
      <c r="F417">
        <v>7</v>
      </c>
      <c r="G417">
        <v>11277</v>
      </c>
      <c r="H417">
        <v>10262.07</v>
      </c>
      <c r="I417">
        <v>2207.0700000000002</v>
      </c>
      <c r="J417" s="4" t="s">
        <v>15</v>
      </c>
      <c r="K417">
        <v>2018</v>
      </c>
    </row>
    <row r="418" spans="1:11" hidden="1" x14ac:dyDescent="0.3">
      <c r="A418" s="4" t="s">
        <v>17</v>
      </c>
      <c r="B418" s="4" t="s">
        <v>42</v>
      </c>
      <c r="C418" s="4" t="s">
        <v>8</v>
      </c>
      <c r="D418" s="4" t="s">
        <v>26</v>
      </c>
      <c r="E418">
        <v>2797</v>
      </c>
      <c r="F418">
        <v>125</v>
      </c>
      <c r="G418">
        <v>349625</v>
      </c>
      <c r="H418">
        <v>318158.75</v>
      </c>
      <c r="I418">
        <v>-17481.25</v>
      </c>
      <c r="J418" s="4" t="s">
        <v>15</v>
      </c>
      <c r="K418">
        <v>2019</v>
      </c>
    </row>
    <row r="419" spans="1:11" x14ac:dyDescent="0.3">
      <c r="A419" s="4" t="s">
        <v>12</v>
      </c>
      <c r="B419" s="4" t="s">
        <v>41</v>
      </c>
      <c r="C419" s="4" t="s">
        <v>8</v>
      </c>
      <c r="D419" s="4" t="s">
        <v>26</v>
      </c>
      <c r="E419">
        <v>334</v>
      </c>
      <c r="F419">
        <v>300</v>
      </c>
      <c r="G419">
        <v>100200</v>
      </c>
      <c r="H419">
        <v>91182</v>
      </c>
      <c r="I419">
        <v>7682</v>
      </c>
      <c r="J419" s="4" t="s">
        <v>15</v>
      </c>
      <c r="K419">
        <v>2018</v>
      </c>
    </row>
    <row r="420" spans="1:11" hidden="1" x14ac:dyDescent="0.3">
      <c r="A420" s="4" t="s">
        <v>12</v>
      </c>
      <c r="B420" s="4" t="s">
        <v>9</v>
      </c>
      <c r="C420" s="4" t="s">
        <v>5</v>
      </c>
      <c r="D420" s="4" t="s">
        <v>26</v>
      </c>
      <c r="E420">
        <v>2565</v>
      </c>
      <c r="F420">
        <v>300</v>
      </c>
      <c r="G420">
        <v>769500</v>
      </c>
      <c r="H420">
        <v>700245</v>
      </c>
      <c r="I420">
        <v>58995</v>
      </c>
      <c r="J420" s="4" t="s">
        <v>24</v>
      </c>
      <c r="K420">
        <v>2019</v>
      </c>
    </row>
    <row r="421" spans="1:11" hidden="1" x14ac:dyDescent="0.3">
      <c r="A421" s="4" t="s">
        <v>6</v>
      </c>
      <c r="B421" s="4" t="s">
        <v>9</v>
      </c>
      <c r="C421" s="4" t="s">
        <v>5</v>
      </c>
      <c r="D421" s="4" t="s">
        <v>26</v>
      </c>
      <c r="E421">
        <v>2417</v>
      </c>
      <c r="F421">
        <v>350</v>
      </c>
      <c r="G421">
        <v>845950</v>
      </c>
      <c r="H421">
        <v>769814.5</v>
      </c>
      <c r="I421">
        <v>141394.5</v>
      </c>
      <c r="J421" s="4" t="s">
        <v>24</v>
      </c>
      <c r="K421">
        <v>2019</v>
      </c>
    </row>
    <row r="422" spans="1:11" hidden="1" x14ac:dyDescent="0.3">
      <c r="A422" s="4" t="s">
        <v>18</v>
      </c>
      <c r="B422" s="4" t="s">
        <v>42</v>
      </c>
      <c r="C422" s="4" t="s">
        <v>5</v>
      </c>
      <c r="D422" s="4" t="s">
        <v>26</v>
      </c>
      <c r="E422">
        <v>3675</v>
      </c>
      <c r="F422">
        <v>15</v>
      </c>
      <c r="G422">
        <v>55125</v>
      </c>
      <c r="H422">
        <v>50163.75</v>
      </c>
      <c r="I422">
        <v>13413.75</v>
      </c>
      <c r="J422" s="4" t="s">
        <v>4</v>
      </c>
      <c r="K422">
        <v>2019</v>
      </c>
    </row>
    <row r="423" spans="1:11" hidden="1" x14ac:dyDescent="0.3">
      <c r="A423" s="4" t="s">
        <v>12</v>
      </c>
      <c r="B423" s="4" t="s">
        <v>40</v>
      </c>
      <c r="C423" s="4" t="s">
        <v>5</v>
      </c>
      <c r="D423" s="4" t="s">
        <v>26</v>
      </c>
      <c r="E423">
        <v>1094</v>
      </c>
      <c r="F423">
        <v>300</v>
      </c>
      <c r="G423">
        <v>328200</v>
      </c>
      <c r="H423">
        <v>298662</v>
      </c>
      <c r="I423">
        <v>25162</v>
      </c>
      <c r="J423" s="4" t="s">
        <v>25</v>
      </c>
      <c r="K423">
        <v>2019</v>
      </c>
    </row>
    <row r="424" spans="1:11" hidden="1" x14ac:dyDescent="0.3">
      <c r="A424" s="4" t="s">
        <v>18</v>
      </c>
      <c r="B424" s="4" t="s">
        <v>14</v>
      </c>
      <c r="C424" s="4" t="s">
        <v>5</v>
      </c>
      <c r="D424" s="4" t="s">
        <v>26</v>
      </c>
      <c r="E424">
        <v>1227</v>
      </c>
      <c r="F424">
        <v>15</v>
      </c>
      <c r="G424">
        <v>18405</v>
      </c>
      <c r="H424">
        <v>16748.55</v>
      </c>
      <c r="I424">
        <v>4478.55</v>
      </c>
      <c r="J424" s="4" t="s">
        <v>10</v>
      </c>
      <c r="K424">
        <v>2019</v>
      </c>
    </row>
    <row r="425" spans="1:11" hidden="1" x14ac:dyDescent="0.3">
      <c r="A425" s="4" t="s">
        <v>3</v>
      </c>
      <c r="B425" s="4" t="s">
        <v>9</v>
      </c>
      <c r="C425" s="4" t="s">
        <v>5</v>
      </c>
      <c r="D425" s="4" t="s">
        <v>26</v>
      </c>
      <c r="E425">
        <v>367</v>
      </c>
      <c r="F425">
        <v>12</v>
      </c>
      <c r="G425">
        <v>4404</v>
      </c>
      <c r="H425">
        <v>4007.64</v>
      </c>
      <c r="I425">
        <v>2906.64</v>
      </c>
      <c r="J425" s="4" t="s">
        <v>10</v>
      </c>
      <c r="K425">
        <v>2018</v>
      </c>
    </row>
    <row r="426" spans="1:11" hidden="1" x14ac:dyDescent="0.3">
      <c r="A426" s="4" t="s">
        <v>12</v>
      </c>
      <c r="B426" s="4" t="s">
        <v>14</v>
      </c>
      <c r="C426" s="4" t="s">
        <v>5</v>
      </c>
      <c r="D426" s="4" t="s">
        <v>26</v>
      </c>
      <c r="E426">
        <v>1324</v>
      </c>
      <c r="F426">
        <v>300</v>
      </c>
      <c r="G426">
        <v>397200</v>
      </c>
      <c r="H426">
        <v>361452</v>
      </c>
      <c r="I426">
        <v>30452</v>
      </c>
      <c r="J426" s="4" t="s">
        <v>16</v>
      </c>
      <c r="K426">
        <v>2019</v>
      </c>
    </row>
    <row r="427" spans="1:11" hidden="1" x14ac:dyDescent="0.3">
      <c r="A427" s="4" t="s">
        <v>3</v>
      </c>
      <c r="B427" s="4" t="s">
        <v>41</v>
      </c>
      <c r="C427" s="4" t="s">
        <v>5</v>
      </c>
      <c r="D427" s="4" t="s">
        <v>26</v>
      </c>
      <c r="E427">
        <v>1775</v>
      </c>
      <c r="F427">
        <v>12</v>
      </c>
      <c r="G427">
        <v>21300</v>
      </c>
      <c r="H427">
        <v>19383</v>
      </c>
      <c r="I427">
        <v>14058</v>
      </c>
      <c r="J427" s="4" t="s">
        <v>16</v>
      </c>
      <c r="K427">
        <v>2018</v>
      </c>
    </row>
    <row r="428" spans="1:11" hidden="1" x14ac:dyDescent="0.3">
      <c r="A428" s="4" t="s">
        <v>17</v>
      </c>
      <c r="B428" s="4" t="s">
        <v>42</v>
      </c>
      <c r="C428" s="4" t="s">
        <v>5</v>
      </c>
      <c r="D428" s="4" t="s">
        <v>26</v>
      </c>
      <c r="E428">
        <v>2797</v>
      </c>
      <c r="F428">
        <v>125</v>
      </c>
      <c r="G428">
        <v>349625</v>
      </c>
      <c r="H428">
        <v>318158.75</v>
      </c>
      <c r="I428">
        <v>-17481.25</v>
      </c>
      <c r="J428" s="4" t="s">
        <v>15</v>
      </c>
      <c r="K428">
        <v>2019</v>
      </c>
    </row>
    <row r="429" spans="1:11" hidden="1" x14ac:dyDescent="0.3">
      <c r="A429" s="4" t="s">
        <v>18</v>
      </c>
      <c r="B429" s="4" t="s">
        <v>9</v>
      </c>
      <c r="C429" s="4" t="s">
        <v>20</v>
      </c>
      <c r="D429" s="4" t="s">
        <v>26</v>
      </c>
      <c r="E429">
        <v>245</v>
      </c>
      <c r="F429">
        <v>15</v>
      </c>
      <c r="G429">
        <v>3675</v>
      </c>
      <c r="H429">
        <v>3344.25</v>
      </c>
      <c r="I429">
        <v>894.25</v>
      </c>
      <c r="J429" s="4" t="s">
        <v>0</v>
      </c>
      <c r="K429">
        <v>2019</v>
      </c>
    </row>
    <row r="430" spans="1:11" hidden="1" x14ac:dyDescent="0.3">
      <c r="A430" s="4" t="s">
        <v>12</v>
      </c>
      <c r="B430" s="4" t="s">
        <v>40</v>
      </c>
      <c r="C430" s="4" t="s">
        <v>20</v>
      </c>
      <c r="D430" s="4" t="s">
        <v>26</v>
      </c>
      <c r="E430">
        <v>3793.5</v>
      </c>
      <c r="F430">
        <v>300</v>
      </c>
      <c r="G430">
        <v>1138050</v>
      </c>
      <c r="H430">
        <v>1035625.5</v>
      </c>
      <c r="I430">
        <v>87250.5</v>
      </c>
      <c r="J430" s="4" t="s">
        <v>19</v>
      </c>
      <c r="K430">
        <v>2019</v>
      </c>
    </row>
    <row r="431" spans="1:11" hidden="1" x14ac:dyDescent="0.3">
      <c r="A431" s="4" t="s">
        <v>6</v>
      </c>
      <c r="B431" s="4" t="s">
        <v>41</v>
      </c>
      <c r="C431" s="4" t="s">
        <v>20</v>
      </c>
      <c r="D431" s="4" t="s">
        <v>26</v>
      </c>
      <c r="E431">
        <v>1307</v>
      </c>
      <c r="F431">
        <v>350</v>
      </c>
      <c r="G431">
        <v>457450</v>
      </c>
      <c r="H431">
        <v>416279.5</v>
      </c>
      <c r="I431">
        <v>76459.5</v>
      </c>
      <c r="J431" s="4" t="s">
        <v>19</v>
      </c>
      <c r="K431">
        <v>2019</v>
      </c>
    </row>
    <row r="432" spans="1:11" hidden="1" x14ac:dyDescent="0.3">
      <c r="A432" s="4" t="s">
        <v>17</v>
      </c>
      <c r="B432" s="4" t="s">
        <v>40</v>
      </c>
      <c r="C432" s="4" t="s">
        <v>20</v>
      </c>
      <c r="D432" s="4" t="s">
        <v>26</v>
      </c>
      <c r="E432">
        <v>567</v>
      </c>
      <c r="F432">
        <v>125</v>
      </c>
      <c r="G432">
        <v>70875</v>
      </c>
      <c r="H432">
        <v>64496.25</v>
      </c>
      <c r="I432">
        <v>-3543.75</v>
      </c>
      <c r="J432" s="4" t="s">
        <v>21</v>
      </c>
      <c r="K432">
        <v>2019</v>
      </c>
    </row>
    <row r="433" spans="1:11" hidden="1" x14ac:dyDescent="0.3">
      <c r="A433" s="4" t="s">
        <v>17</v>
      </c>
      <c r="B433" s="4" t="s">
        <v>9</v>
      </c>
      <c r="C433" s="4" t="s">
        <v>20</v>
      </c>
      <c r="D433" s="4" t="s">
        <v>26</v>
      </c>
      <c r="E433">
        <v>2110</v>
      </c>
      <c r="F433">
        <v>125</v>
      </c>
      <c r="G433">
        <v>263750</v>
      </c>
      <c r="H433">
        <v>240012.5</v>
      </c>
      <c r="I433">
        <v>-13187.5</v>
      </c>
      <c r="J433" s="4" t="s">
        <v>21</v>
      </c>
      <c r="K433">
        <v>2019</v>
      </c>
    </row>
    <row r="434" spans="1:11" hidden="1" x14ac:dyDescent="0.3">
      <c r="A434" s="4" t="s">
        <v>6</v>
      </c>
      <c r="B434" s="4" t="s">
        <v>40</v>
      </c>
      <c r="C434" s="4" t="s">
        <v>20</v>
      </c>
      <c r="D434" s="4" t="s">
        <v>26</v>
      </c>
      <c r="E434">
        <v>1269</v>
      </c>
      <c r="F434">
        <v>350</v>
      </c>
      <c r="G434">
        <v>444150</v>
      </c>
      <c r="H434">
        <v>404176.5</v>
      </c>
      <c r="I434">
        <v>74236.5</v>
      </c>
      <c r="J434" s="4" t="s">
        <v>10</v>
      </c>
      <c r="K434">
        <v>2019</v>
      </c>
    </row>
    <row r="435" spans="1:11" hidden="1" x14ac:dyDescent="0.3">
      <c r="A435" s="4" t="s">
        <v>3</v>
      </c>
      <c r="B435" s="4" t="s">
        <v>42</v>
      </c>
      <c r="C435" s="4" t="s">
        <v>2</v>
      </c>
      <c r="D435" s="4" t="s">
        <v>26</v>
      </c>
      <c r="E435">
        <v>1956</v>
      </c>
      <c r="F435">
        <v>12</v>
      </c>
      <c r="G435">
        <v>23472</v>
      </c>
      <c r="H435">
        <v>21359.52</v>
      </c>
      <c r="I435">
        <v>15491.52</v>
      </c>
      <c r="J435" s="4" t="s">
        <v>24</v>
      </c>
      <c r="K435">
        <v>2019</v>
      </c>
    </row>
    <row r="436" spans="1:11" hidden="1" x14ac:dyDescent="0.3">
      <c r="A436" s="4" t="s">
        <v>12</v>
      </c>
      <c r="B436" s="4" t="s">
        <v>41</v>
      </c>
      <c r="C436" s="4" t="s">
        <v>2</v>
      </c>
      <c r="D436" s="4" t="s">
        <v>26</v>
      </c>
      <c r="E436">
        <v>2659</v>
      </c>
      <c r="F436">
        <v>300</v>
      </c>
      <c r="G436">
        <v>797700</v>
      </c>
      <c r="H436">
        <v>725907</v>
      </c>
      <c r="I436">
        <v>61157</v>
      </c>
      <c r="J436" s="4" t="s">
        <v>7</v>
      </c>
      <c r="K436">
        <v>2019</v>
      </c>
    </row>
    <row r="437" spans="1:11" hidden="1" x14ac:dyDescent="0.3">
      <c r="A437" s="4" t="s">
        <v>6</v>
      </c>
      <c r="B437" s="4" t="s">
        <v>42</v>
      </c>
      <c r="C437" s="4" t="s">
        <v>2</v>
      </c>
      <c r="D437" s="4" t="s">
        <v>26</v>
      </c>
      <c r="E437">
        <v>1351.5</v>
      </c>
      <c r="F437">
        <v>350</v>
      </c>
      <c r="G437">
        <v>473025</v>
      </c>
      <c r="H437">
        <v>430452.75</v>
      </c>
      <c r="I437">
        <v>79062.75</v>
      </c>
      <c r="J437" s="4" t="s">
        <v>4</v>
      </c>
      <c r="K437">
        <v>2019</v>
      </c>
    </row>
    <row r="438" spans="1:11" hidden="1" x14ac:dyDescent="0.3">
      <c r="A438" s="4" t="s">
        <v>3</v>
      </c>
      <c r="B438" s="4" t="s">
        <v>41</v>
      </c>
      <c r="C438" s="4" t="s">
        <v>2</v>
      </c>
      <c r="D438" s="4" t="s">
        <v>26</v>
      </c>
      <c r="E438">
        <v>880</v>
      </c>
      <c r="F438">
        <v>12</v>
      </c>
      <c r="G438">
        <v>10560</v>
      </c>
      <c r="H438">
        <v>9609.6</v>
      </c>
      <c r="I438">
        <v>6969.6</v>
      </c>
      <c r="J438" s="4" t="s">
        <v>0</v>
      </c>
      <c r="K438">
        <v>2019</v>
      </c>
    </row>
    <row r="439" spans="1:11" hidden="1" x14ac:dyDescent="0.3">
      <c r="A439" s="4" t="s">
        <v>12</v>
      </c>
      <c r="B439" s="4" t="s">
        <v>42</v>
      </c>
      <c r="C439" s="4" t="s">
        <v>2</v>
      </c>
      <c r="D439" s="4" t="s">
        <v>26</v>
      </c>
      <c r="E439">
        <v>1867</v>
      </c>
      <c r="F439">
        <v>300</v>
      </c>
      <c r="G439">
        <v>560100</v>
      </c>
      <c r="H439">
        <v>509691</v>
      </c>
      <c r="I439">
        <v>42941</v>
      </c>
      <c r="J439" s="4" t="s">
        <v>21</v>
      </c>
      <c r="K439">
        <v>2019</v>
      </c>
    </row>
    <row r="440" spans="1:11" hidden="1" x14ac:dyDescent="0.3">
      <c r="A440" s="4" t="s">
        <v>3</v>
      </c>
      <c r="B440" s="4" t="s">
        <v>14</v>
      </c>
      <c r="C440" s="4" t="s">
        <v>2</v>
      </c>
      <c r="D440" s="4" t="s">
        <v>26</v>
      </c>
      <c r="E440">
        <v>2234</v>
      </c>
      <c r="F440">
        <v>12</v>
      </c>
      <c r="G440">
        <v>26808</v>
      </c>
      <c r="H440">
        <v>24395.279999999999</v>
      </c>
      <c r="I440">
        <v>17693.28</v>
      </c>
      <c r="J440" s="4" t="s">
        <v>21</v>
      </c>
      <c r="K440">
        <v>2018</v>
      </c>
    </row>
    <row r="441" spans="1:11" hidden="1" x14ac:dyDescent="0.3">
      <c r="A441" s="4" t="s">
        <v>18</v>
      </c>
      <c r="B441" s="4" t="s">
        <v>14</v>
      </c>
      <c r="C441" s="4" t="s">
        <v>2</v>
      </c>
      <c r="D441" s="4" t="s">
        <v>26</v>
      </c>
      <c r="E441">
        <v>1227</v>
      </c>
      <c r="F441">
        <v>15</v>
      </c>
      <c r="G441">
        <v>18405</v>
      </c>
      <c r="H441">
        <v>16748.55</v>
      </c>
      <c r="I441">
        <v>4478.55</v>
      </c>
      <c r="J441" s="4" t="s">
        <v>10</v>
      </c>
      <c r="K441">
        <v>2019</v>
      </c>
    </row>
    <row r="442" spans="1:11" hidden="1" x14ac:dyDescent="0.3">
      <c r="A442" s="4" t="s">
        <v>17</v>
      </c>
      <c r="B442" s="4" t="s">
        <v>9</v>
      </c>
      <c r="C442" s="4" t="s">
        <v>2</v>
      </c>
      <c r="D442" s="4" t="s">
        <v>26</v>
      </c>
      <c r="E442">
        <v>877</v>
      </c>
      <c r="F442">
        <v>125</v>
      </c>
      <c r="G442">
        <v>109625</v>
      </c>
      <c r="H442">
        <v>99758.75</v>
      </c>
      <c r="I442">
        <v>-5481.25</v>
      </c>
      <c r="J442" s="4" t="s">
        <v>16</v>
      </c>
      <c r="K442">
        <v>2019</v>
      </c>
    </row>
    <row r="443" spans="1:11" hidden="1" x14ac:dyDescent="0.3">
      <c r="A443" s="4" t="s">
        <v>6</v>
      </c>
      <c r="B443" s="4" t="s">
        <v>42</v>
      </c>
      <c r="C443" s="4" t="s">
        <v>11</v>
      </c>
      <c r="D443" s="4" t="s">
        <v>26</v>
      </c>
      <c r="E443">
        <v>2071</v>
      </c>
      <c r="F443">
        <v>350</v>
      </c>
      <c r="G443">
        <v>724850</v>
      </c>
      <c r="H443">
        <v>659613.5</v>
      </c>
      <c r="I443">
        <v>121153.5</v>
      </c>
      <c r="J443" s="4" t="s">
        <v>21</v>
      </c>
      <c r="K443">
        <v>2019</v>
      </c>
    </row>
    <row r="444" spans="1:11" hidden="1" x14ac:dyDescent="0.3">
      <c r="A444" s="4" t="s">
        <v>6</v>
      </c>
      <c r="B444" s="4" t="s">
        <v>40</v>
      </c>
      <c r="C444" s="4" t="s">
        <v>11</v>
      </c>
      <c r="D444" s="4" t="s">
        <v>26</v>
      </c>
      <c r="E444">
        <v>1269</v>
      </c>
      <c r="F444">
        <v>350</v>
      </c>
      <c r="G444">
        <v>444150</v>
      </c>
      <c r="H444">
        <v>404176.5</v>
      </c>
      <c r="I444">
        <v>74236.5</v>
      </c>
      <c r="J444" s="4" t="s">
        <v>10</v>
      </c>
      <c r="K444">
        <v>2019</v>
      </c>
    </row>
    <row r="445" spans="1:11" hidden="1" x14ac:dyDescent="0.3">
      <c r="A445" s="4" t="s">
        <v>18</v>
      </c>
      <c r="B445" s="4" t="s">
        <v>41</v>
      </c>
      <c r="C445" s="4" t="s">
        <v>11</v>
      </c>
      <c r="D445" s="4" t="s">
        <v>26</v>
      </c>
      <c r="E445">
        <v>970</v>
      </c>
      <c r="F445">
        <v>15</v>
      </c>
      <c r="G445">
        <v>14550</v>
      </c>
      <c r="H445">
        <v>13240.5</v>
      </c>
      <c r="I445">
        <v>3540.5</v>
      </c>
      <c r="J445" s="4" t="s">
        <v>16</v>
      </c>
      <c r="K445">
        <v>2018</v>
      </c>
    </row>
    <row r="446" spans="1:11" hidden="1" x14ac:dyDescent="0.3">
      <c r="A446" s="4" t="s">
        <v>6</v>
      </c>
      <c r="B446" s="4" t="s">
        <v>9</v>
      </c>
      <c r="C446" s="4" t="s">
        <v>11</v>
      </c>
      <c r="D446" s="4" t="s">
        <v>26</v>
      </c>
      <c r="E446">
        <v>1694</v>
      </c>
      <c r="F446">
        <v>20</v>
      </c>
      <c r="G446">
        <v>33880</v>
      </c>
      <c r="H446">
        <v>30830.799999999999</v>
      </c>
      <c r="I446">
        <v>13890.8</v>
      </c>
      <c r="J446" s="4" t="s">
        <v>16</v>
      </c>
      <c r="K446">
        <v>2019</v>
      </c>
    </row>
    <row r="447" spans="1:11" x14ac:dyDescent="0.3">
      <c r="A447" s="4" t="s">
        <v>6</v>
      </c>
      <c r="B447" s="4" t="s">
        <v>41</v>
      </c>
      <c r="C447" s="4" t="s">
        <v>23</v>
      </c>
      <c r="D447" s="4" t="s">
        <v>26</v>
      </c>
      <c r="E447">
        <v>663</v>
      </c>
      <c r="F447">
        <v>20</v>
      </c>
      <c r="G447">
        <v>13260</v>
      </c>
      <c r="H447">
        <v>12066.6</v>
      </c>
      <c r="I447">
        <v>5436.6</v>
      </c>
      <c r="J447" s="4" t="s">
        <v>0</v>
      </c>
      <c r="K447">
        <v>2019</v>
      </c>
    </row>
    <row r="448" spans="1:11" x14ac:dyDescent="0.3">
      <c r="A448" s="4" t="s">
        <v>6</v>
      </c>
      <c r="B448" s="4" t="s">
        <v>40</v>
      </c>
      <c r="C448" s="4" t="s">
        <v>23</v>
      </c>
      <c r="D448" s="4" t="s">
        <v>26</v>
      </c>
      <c r="E448">
        <v>819</v>
      </c>
      <c r="F448">
        <v>7</v>
      </c>
      <c r="G448">
        <v>5733</v>
      </c>
      <c r="H448">
        <v>5217.03</v>
      </c>
      <c r="I448">
        <v>1122.03</v>
      </c>
      <c r="J448" s="4" t="s">
        <v>19</v>
      </c>
      <c r="K448">
        <v>2019</v>
      </c>
    </row>
    <row r="449" spans="1:11" x14ac:dyDescent="0.3">
      <c r="A449" s="4" t="s">
        <v>3</v>
      </c>
      <c r="B449" s="4" t="s">
        <v>41</v>
      </c>
      <c r="C449" s="4" t="s">
        <v>23</v>
      </c>
      <c r="D449" s="4" t="s">
        <v>26</v>
      </c>
      <c r="E449">
        <v>1580</v>
      </c>
      <c r="F449">
        <v>12</v>
      </c>
      <c r="G449">
        <v>18960</v>
      </c>
      <c r="H449">
        <v>17253.599999999999</v>
      </c>
      <c r="I449">
        <v>12513.6</v>
      </c>
      <c r="J449" s="4" t="s">
        <v>21</v>
      </c>
      <c r="K449">
        <v>2019</v>
      </c>
    </row>
    <row r="450" spans="1:11" hidden="1" x14ac:dyDescent="0.3">
      <c r="A450" s="4" t="s">
        <v>6</v>
      </c>
      <c r="B450" s="4" t="s">
        <v>9</v>
      </c>
      <c r="C450" s="4" t="s">
        <v>23</v>
      </c>
      <c r="D450" s="4" t="s">
        <v>26</v>
      </c>
      <c r="E450">
        <v>521</v>
      </c>
      <c r="F450">
        <v>7</v>
      </c>
      <c r="G450">
        <v>3647</v>
      </c>
      <c r="H450">
        <v>3318.77</v>
      </c>
      <c r="I450">
        <v>713.77</v>
      </c>
      <c r="J450" s="4" t="s">
        <v>15</v>
      </c>
      <c r="K450">
        <v>2019</v>
      </c>
    </row>
    <row r="451" spans="1:11" hidden="1" x14ac:dyDescent="0.3">
      <c r="A451" s="4" t="s">
        <v>6</v>
      </c>
      <c r="B451" s="4" t="s">
        <v>42</v>
      </c>
      <c r="C451" s="4" t="s">
        <v>5</v>
      </c>
      <c r="D451" s="4" t="s">
        <v>26</v>
      </c>
      <c r="E451">
        <v>973</v>
      </c>
      <c r="F451">
        <v>20</v>
      </c>
      <c r="G451">
        <v>19460</v>
      </c>
      <c r="H451">
        <v>17708.599999999999</v>
      </c>
      <c r="I451">
        <v>7978.6</v>
      </c>
      <c r="J451" s="4" t="s">
        <v>13</v>
      </c>
      <c r="K451">
        <v>2019</v>
      </c>
    </row>
    <row r="452" spans="1:11" hidden="1" x14ac:dyDescent="0.3">
      <c r="A452" s="4" t="s">
        <v>6</v>
      </c>
      <c r="B452" s="4" t="s">
        <v>9</v>
      </c>
      <c r="C452" s="4" t="s">
        <v>5</v>
      </c>
      <c r="D452" s="4" t="s">
        <v>26</v>
      </c>
      <c r="E452">
        <v>1038</v>
      </c>
      <c r="F452">
        <v>20</v>
      </c>
      <c r="G452">
        <v>20760</v>
      </c>
      <c r="H452">
        <v>18891.599999999999</v>
      </c>
      <c r="I452">
        <v>8511.6</v>
      </c>
      <c r="J452" s="4" t="s">
        <v>25</v>
      </c>
      <c r="K452">
        <v>2019</v>
      </c>
    </row>
    <row r="453" spans="1:11" hidden="1" x14ac:dyDescent="0.3">
      <c r="A453" s="4" t="s">
        <v>6</v>
      </c>
      <c r="B453" s="4" t="s">
        <v>41</v>
      </c>
      <c r="C453" s="4" t="s">
        <v>5</v>
      </c>
      <c r="D453" s="4" t="s">
        <v>26</v>
      </c>
      <c r="E453">
        <v>360</v>
      </c>
      <c r="F453">
        <v>7</v>
      </c>
      <c r="G453">
        <v>2520</v>
      </c>
      <c r="H453">
        <v>2293.1999999999998</v>
      </c>
      <c r="I453">
        <v>493.2</v>
      </c>
      <c r="J453" s="4" t="s">
        <v>10</v>
      </c>
      <c r="K453">
        <v>2019</v>
      </c>
    </row>
    <row r="454" spans="1:11" hidden="1" x14ac:dyDescent="0.3">
      <c r="A454" s="4" t="s">
        <v>3</v>
      </c>
      <c r="B454" s="4" t="s">
        <v>14</v>
      </c>
      <c r="C454" s="4" t="s">
        <v>20</v>
      </c>
      <c r="D454" s="4" t="s">
        <v>26</v>
      </c>
      <c r="E454">
        <v>1967</v>
      </c>
      <c r="F454">
        <v>12</v>
      </c>
      <c r="G454">
        <v>23604</v>
      </c>
      <c r="H454">
        <v>21479.64</v>
      </c>
      <c r="I454">
        <v>15578.64</v>
      </c>
      <c r="J454" s="4" t="s">
        <v>13</v>
      </c>
      <c r="K454">
        <v>2019</v>
      </c>
    </row>
    <row r="455" spans="1:11" hidden="1" x14ac:dyDescent="0.3">
      <c r="A455" s="4" t="s">
        <v>18</v>
      </c>
      <c r="B455" s="4" t="s">
        <v>9</v>
      </c>
      <c r="C455" s="4" t="s">
        <v>20</v>
      </c>
      <c r="D455" s="4" t="s">
        <v>26</v>
      </c>
      <c r="E455">
        <v>2628</v>
      </c>
      <c r="F455">
        <v>15</v>
      </c>
      <c r="G455">
        <v>39420</v>
      </c>
      <c r="H455">
        <v>35872.199999999997</v>
      </c>
      <c r="I455">
        <v>9592.2000000000007</v>
      </c>
      <c r="J455" s="4" t="s">
        <v>4</v>
      </c>
      <c r="K455">
        <v>2019</v>
      </c>
    </row>
    <row r="456" spans="1:11" hidden="1" x14ac:dyDescent="0.3">
      <c r="A456" s="4" t="s">
        <v>6</v>
      </c>
      <c r="B456" s="4" t="s">
        <v>41</v>
      </c>
      <c r="C456" s="4" t="s">
        <v>2</v>
      </c>
      <c r="D456" s="4" t="s">
        <v>26</v>
      </c>
      <c r="E456">
        <v>360</v>
      </c>
      <c r="F456">
        <v>7</v>
      </c>
      <c r="G456">
        <v>2520</v>
      </c>
      <c r="H456">
        <v>2293.1999999999998</v>
      </c>
      <c r="I456">
        <v>493.2</v>
      </c>
      <c r="J456" s="4" t="s">
        <v>10</v>
      </c>
      <c r="K456">
        <v>2019</v>
      </c>
    </row>
    <row r="457" spans="1:11" hidden="1" x14ac:dyDescent="0.3">
      <c r="A457" s="4" t="s">
        <v>6</v>
      </c>
      <c r="B457" s="4" t="s">
        <v>14</v>
      </c>
      <c r="C457" s="4" t="s">
        <v>2</v>
      </c>
      <c r="D457" s="4" t="s">
        <v>26</v>
      </c>
      <c r="E457">
        <v>2682</v>
      </c>
      <c r="F457">
        <v>20</v>
      </c>
      <c r="G457">
        <v>53640</v>
      </c>
      <c r="H457">
        <v>48812.4</v>
      </c>
      <c r="I457">
        <v>21992.400000000001</v>
      </c>
      <c r="J457" s="4" t="s">
        <v>16</v>
      </c>
      <c r="K457">
        <v>2018</v>
      </c>
    </row>
    <row r="458" spans="1:11" hidden="1" x14ac:dyDescent="0.3">
      <c r="A458" s="4" t="s">
        <v>6</v>
      </c>
      <c r="B458" s="4" t="s">
        <v>9</v>
      </c>
      <c r="C458" s="4" t="s">
        <v>2</v>
      </c>
      <c r="D458" s="4" t="s">
        <v>26</v>
      </c>
      <c r="E458">
        <v>521</v>
      </c>
      <c r="F458">
        <v>7</v>
      </c>
      <c r="G458">
        <v>3647</v>
      </c>
      <c r="H458">
        <v>3318.77</v>
      </c>
      <c r="I458">
        <v>713.77</v>
      </c>
      <c r="J458" s="4" t="s">
        <v>15</v>
      </c>
      <c r="K458">
        <v>2019</v>
      </c>
    </row>
    <row r="459" spans="1:11" hidden="1" x14ac:dyDescent="0.3">
      <c r="A459" s="4" t="s">
        <v>6</v>
      </c>
      <c r="B459" s="4" t="s">
        <v>9</v>
      </c>
      <c r="C459" s="4" t="s">
        <v>11</v>
      </c>
      <c r="D459" s="4" t="s">
        <v>26</v>
      </c>
      <c r="E459">
        <v>1038</v>
      </c>
      <c r="F459">
        <v>20</v>
      </c>
      <c r="G459">
        <v>20760</v>
      </c>
      <c r="H459">
        <v>18891.599999999999</v>
      </c>
      <c r="I459">
        <v>8511.6</v>
      </c>
      <c r="J459" s="4" t="s">
        <v>25</v>
      </c>
      <c r="K459">
        <v>2019</v>
      </c>
    </row>
    <row r="460" spans="1:11" hidden="1" x14ac:dyDescent="0.3">
      <c r="A460" s="4" t="s">
        <v>18</v>
      </c>
      <c r="B460" s="4" t="s">
        <v>40</v>
      </c>
      <c r="C460" s="4" t="s">
        <v>11</v>
      </c>
      <c r="D460" s="4" t="s">
        <v>26</v>
      </c>
      <c r="E460">
        <v>1630.5</v>
      </c>
      <c r="F460">
        <v>15</v>
      </c>
      <c r="G460">
        <v>24457.5</v>
      </c>
      <c r="H460">
        <v>22256.325000000001</v>
      </c>
      <c r="I460">
        <v>5951.3249999999998</v>
      </c>
      <c r="J460" s="4" t="s">
        <v>19</v>
      </c>
      <c r="K460">
        <v>2019</v>
      </c>
    </row>
    <row r="461" spans="1:11" hidden="1" x14ac:dyDescent="0.3">
      <c r="A461" s="4" t="s">
        <v>3</v>
      </c>
      <c r="B461" s="4" t="s">
        <v>14</v>
      </c>
      <c r="C461" s="4" t="s">
        <v>11</v>
      </c>
      <c r="D461" s="4" t="s">
        <v>26</v>
      </c>
      <c r="E461">
        <v>306</v>
      </c>
      <c r="F461">
        <v>12</v>
      </c>
      <c r="G461">
        <v>3672</v>
      </c>
      <c r="H461">
        <v>3341.52</v>
      </c>
      <c r="I461">
        <v>2423.52</v>
      </c>
      <c r="J461" s="4" t="s">
        <v>15</v>
      </c>
      <c r="K461">
        <v>2018</v>
      </c>
    </row>
    <row r="462" spans="1:11" hidden="1" x14ac:dyDescent="0.3">
      <c r="A462" s="4" t="s">
        <v>3</v>
      </c>
      <c r="B462" s="4" t="s">
        <v>42</v>
      </c>
      <c r="C462" s="4" t="s">
        <v>23</v>
      </c>
      <c r="D462" s="4" t="s">
        <v>1</v>
      </c>
      <c r="E462">
        <v>386</v>
      </c>
      <c r="F462">
        <v>12</v>
      </c>
      <c r="G462">
        <v>4632</v>
      </c>
      <c r="H462">
        <v>4168.8</v>
      </c>
      <c r="I462">
        <v>3010.8</v>
      </c>
      <c r="J462" s="4" t="s">
        <v>10</v>
      </c>
      <c r="K462">
        <v>2018</v>
      </c>
    </row>
    <row r="463" spans="1:11" hidden="1" x14ac:dyDescent="0.3">
      <c r="A463" s="4" t="s">
        <v>6</v>
      </c>
      <c r="B463" s="4" t="s">
        <v>42</v>
      </c>
      <c r="C463" s="4" t="s">
        <v>8</v>
      </c>
      <c r="D463" s="4" t="s">
        <v>1</v>
      </c>
      <c r="E463">
        <v>2328</v>
      </c>
      <c r="F463">
        <v>7</v>
      </c>
      <c r="G463">
        <v>16296</v>
      </c>
      <c r="H463">
        <v>14666.4</v>
      </c>
      <c r="I463">
        <v>3026.4</v>
      </c>
      <c r="J463" s="4" t="s">
        <v>21</v>
      </c>
      <c r="K463">
        <v>2019</v>
      </c>
    </row>
    <row r="464" spans="1:11" hidden="1" x14ac:dyDescent="0.3">
      <c r="A464" s="4" t="s">
        <v>3</v>
      </c>
      <c r="B464" s="4" t="s">
        <v>42</v>
      </c>
      <c r="C464" s="4" t="s">
        <v>5</v>
      </c>
      <c r="D464" s="4" t="s">
        <v>1</v>
      </c>
      <c r="E464">
        <v>386</v>
      </c>
      <c r="F464">
        <v>12</v>
      </c>
      <c r="G464">
        <v>4632</v>
      </c>
      <c r="H464">
        <v>4168.8</v>
      </c>
      <c r="I464">
        <v>3010.8</v>
      </c>
      <c r="J464" s="4" t="s">
        <v>10</v>
      </c>
      <c r="K464">
        <v>2018</v>
      </c>
    </row>
    <row r="465" spans="1:11" hidden="1" x14ac:dyDescent="0.3">
      <c r="A465" s="4" t="s">
        <v>17</v>
      </c>
      <c r="B465" s="4" t="s">
        <v>42</v>
      </c>
      <c r="C465" s="4" t="s">
        <v>23</v>
      </c>
      <c r="D465" s="4" t="s">
        <v>1</v>
      </c>
      <c r="E465">
        <v>3445.5</v>
      </c>
      <c r="F465">
        <v>125</v>
      </c>
      <c r="G465">
        <v>430687.5</v>
      </c>
      <c r="H465">
        <v>387618.75</v>
      </c>
      <c r="I465">
        <v>-25841.25</v>
      </c>
      <c r="J465" s="4" t="s">
        <v>4</v>
      </c>
      <c r="K465">
        <v>2019</v>
      </c>
    </row>
    <row r="466" spans="1:11" x14ac:dyDescent="0.3">
      <c r="A466" s="4" t="s">
        <v>17</v>
      </c>
      <c r="B466" s="4" t="s">
        <v>14</v>
      </c>
      <c r="C466" s="4" t="s">
        <v>23</v>
      </c>
      <c r="D466" s="4" t="s">
        <v>1</v>
      </c>
      <c r="E466">
        <v>1482</v>
      </c>
      <c r="F466">
        <v>125</v>
      </c>
      <c r="G466">
        <v>185250</v>
      </c>
      <c r="H466">
        <v>166725</v>
      </c>
      <c r="I466">
        <v>-11115</v>
      </c>
      <c r="J466" s="4" t="s">
        <v>15</v>
      </c>
      <c r="K466">
        <v>2018</v>
      </c>
    </row>
    <row r="467" spans="1:11" hidden="1" x14ac:dyDescent="0.3">
      <c r="A467" s="4" t="s">
        <v>6</v>
      </c>
      <c r="B467" s="4" t="s">
        <v>42</v>
      </c>
      <c r="C467" s="4" t="s">
        <v>8</v>
      </c>
      <c r="D467" s="4" t="s">
        <v>1</v>
      </c>
      <c r="E467">
        <v>2313</v>
      </c>
      <c r="F467">
        <v>350</v>
      </c>
      <c r="G467">
        <v>809550</v>
      </c>
      <c r="H467">
        <v>728595</v>
      </c>
      <c r="I467">
        <v>127215</v>
      </c>
      <c r="J467" s="4" t="s">
        <v>0</v>
      </c>
      <c r="K467">
        <v>2019</v>
      </c>
    </row>
    <row r="468" spans="1:11" hidden="1" x14ac:dyDescent="0.3">
      <c r="A468" s="4" t="s">
        <v>17</v>
      </c>
      <c r="B468" s="4" t="s">
        <v>42</v>
      </c>
      <c r="C468" s="4" t="s">
        <v>8</v>
      </c>
      <c r="D468" s="4" t="s">
        <v>1</v>
      </c>
      <c r="E468">
        <v>1804</v>
      </c>
      <c r="F468">
        <v>125</v>
      </c>
      <c r="G468">
        <v>225500</v>
      </c>
      <c r="H468">
        <v>202950</v>
      </c>
      <c r="I468">
        <v>-13530</v>
      </c>
      <c r="J468" s="4" t="s">
        <v>16</v>
      </c>
      <c r="K468">
        <v>2018</v>
      </c>
    </row>
    <row r="469" spans="1:11" x14ac:dyDescent="0.3">
      <c r="A469" s="4" t="s">
        <v>18</v>
      </c>
      <c r="B469" s="4" t="s">
        <v>14</v>
      </c>
      <c r="C469" s="4" t="s">
        <v>8</v>
      </c>
      <c r="D469" s="4" t="s">
        <v>1</v>
      </c>
      <c r="E469">
        <v>2072</v>
      </c>
      <c r="F469">
        <v>15</v>
      </c>
      <c r="G469">
        <v>31080</v>
      </c>
      <c r="H469">
        <v>27972</v>
      </c>
      <c r="I469">
        <v>7252</v>
      </c>
      <c r="J469" s="4" t="s">
        <v>15</v>
      </c>
      <c r="K469">
        <v>2019</v>
      </c>
    </row>
    <row r="470" spans="1:11" hidden="1" x14ac:dyDescent="0.3">
      <c r="A470" s="4" t="s">
        <v>6</v>
      </c>
      <c r="B470" s="4" t="s">
        <v>14</v>
      </c>
      <c r="C470" s="4" t="s">
        <v>5</v>
      </c>
      <c r="D470" s="4" t="s">
        <v>1</v>
      </c>
      <c r="E470">
        <v>1954</v>
      </c>
      <c r="F470">
        <v>20</v>
      </c>
      <c r="G470">
        <v>39080</v>
      </c>
      <c r="H470">
        <v>35172</v>
      </c>
      <c r="I470">
        <v>15632</v>
      </c>
      <c r="J470" s="4" t="s">
        <v>13</v>
      </c>
      <c r="K470">
        <v>2019</v>
      </c>
    </row>
    <row r="471" spans="1:11" hidden="1" x14ac:dyDescent="0.3">
      <c r="A471" s="4" t="s">
        <v>12</v>
      </c>
      <c r="B471" s="4" t="s">
        <v>9</v>
      </c>
      <c r="C471" s="4" t="s">
        <v>5</v>
      </c>
      <c r="D471" s="4" t="s">
        <v>1</v>
      </c>
      <c r="E471">
        <v>591</v>
      </c>
      <c r="F471">
        <v>300</v>
      </c>
      <c r="G471">
        <v>177300</v>
      </c>
      <c r="H471">
        <v>159570</v>
      </c>
      <c r="I471">
        <v>11820</v>
      </c>
      <c r="J471" s="4" t="s">
        <v>0</v>
      </c>
      <c r="K471">
        <v>2019</v>
      </c>
    </row>
    <row r="472" spans="1:11" hidden="1" x14ac:dyDescent="0.3">
      <c r="A472" s="4" t="s">
        <v>18</v>
      </c>
      <c r="B472" s="4" t="s">
        <v>14</v>
      </c>
      <c r="C472" s="4" t="s">
        <v>5</v>
      </c>
      <c r="D472" s="4" t="s">
        <v>1</v>
      </c>
      <c r="E472">
        <v>2167</v>
      </c>
      <c r="F472">
        <v>15</v>
      </c>
      <c r="G472">
        <v>32505</v>
      </c>
      <c r="H472">
        <v>29254.5</v>
      </c>
      <c r="I472">
        <v>7584.5</v>
      </c>
      <c r="J472" s="4" t="s">
        <v>10</v>
      </c>
      <c r="K472">
        <v>2018</v>
      </c>
    </row>
    <row r="473" spans="1:11" hidden="1" x14ac:dyDescent="0.3">
      <c r="A473" s="4" t="s">
        <v>6</v>
      </c>
      <c r="B473" s="4" t="s">
        <v>41</v>
      </c>
      <c r="C473" s="4" t="s">
        <v>5</v>
      </c>
      <c r="D473" s="4" t="s">
        <v>1</v>
      </c>
      <c r="E473">
        <v>241</v>
      </c>
      <c r="F473">
        <v>20</v>
      </c>
      <c r="G473">
        <v>4820</v>
      </c>
      <c r="H473">
        <v>4338</v>
      </c>
      <c r="I473">
        <v>1928</v>
      </c>
      <c r="J473" s="4" t="s">
        <v>10</v>
      </c>
      <c r="K473">
        <v>2019</v>
      </c>
    </row>
    <row r="474" spans="1:11" hidden="1" x14ac:dyDescent="0.3">
      <c r="A474" s="4" t="s">
        <v>18</v>
      </c>
      <c r="B474" s="4" t="s">
        <v>41</v>
      </c>
      <c r="C474" s="4" t="s">
        <v>20</v>
      </c>
      <c r="D474" s="4" t="s">
        <v>1</v>
      </c>
      <c r="E474">
        <v>681</v>
      </c>
      <c r="F474">
        <v>15</v>
      </c>
      <c r="G474">
        <v>10215</v>
      </c>
      <c r="H474">
        <v>9193.5</v>
      </c>
      <c r="I474">
        <v>2383.5</v>
      </c>
      <c r="J474" s="4" t="s">
        <v>24</v>
      </c>
      <c r="K474">
        <v>2019</v>
      </c>
    </row>
    <row r="475" spans="1:11" hidden="1" x14ac:dyDescent="0.3">
      <c r="A475" s="4" t="s">
        <v>18</v>
      </c>
      <c r="B475" s="4" t="s">
        <v>41</v>
      </c>
      <c r="C475" s="4" t="s">
        <v>20</v>
      </c>
      <c r="D475" s="4" t="s">
        <v>1</v>
      </c>
      <c r="E475">
        <v>510</v>
      </c>
      <c r="F475">
        <v>15</v>
      </c>
      <c r="G475">
        <v>7650</v>
      </c>
      <c r="H475">
        <v>6885</v>
      </c>
      <c r="I475">
        <v>1785</v>
      </c>
      <c r="J475" s="4" t="s">
        <v>4</v>
      </c>
      <c r="K475">
        <v>2019</v>
      </c>
    </row>
    <row r="476" spans="1:11" hidden="1" x14ac:dyDescent="0.3">
      <c r="A476" s="4" t="s">
        <v>18</v>
      </c>
      <c r="B476" s="4" t="s">
        <v>42</v>
      </c>
      <c r="C476" s="4" t="s">
        <v>20</v>
      </c>
      <c r="D476" s="4" t="s">
        <v>1</v>
      </c>
      <c r="E476">
        <v>790</v>
      </c>
      <c r="F476">
        <v>15</v>
      </c>
      <c r="G476">
        <v>11850</v>
      </c>
      <c r="H476">
        <v>10665</v>
      </c>
      <c r="I476">
        <v>2765</v>
      </c>
      <c r="J476" s="4" t="s">
        <v>0</v>
      </c>
      <c r="K476">
        <v>2019</v>
      </c>
    </row>
    <row r="477" spans="1:11" hidden="1" x14ac:dyDescent="0.3">
      <c r="A477" s="4" t="s">
        <v>6</v>
      </c>
      <c r="B477" s="4" t="s">
        <v>14</v>
      </c>
      <c r="C477" s="4" t="s">
        <v>20</v>
      </c>
      <c r="D477" s="4" t="s">
        <v>1</v>
      </c>
      <c r="E477">
        <v>639</v>
      </c>
      <c r="F477">
        <v>350</v>
      </c>
      <c r="G477">
        <v>223650</v>
      </c>
      <c r="H477">
        <v>201285</v>
      </c>
      <c r="I477">
        <v>35145</v>
      </c>
      <c r="J477" s="4" t="s">
        <v>19</v>
      </c>
      <c r="K477">
        <v>2019</v>
      </c>
    </row>
    <row r="478" spans="1:11" hidden="1" x14ac:dyDescent="0.3">
      <c r="A478" s="4" t="s">
        <v>17</v>
      </c>
      <c r="B478" s="4" t="s">
        <v>42</v>
      </c>
      <c r="C478" s="4" t="s">
        <v>20</v>
      </c>
      <c r="D478" s="4" t="s">
        <v>1</v>
      </c>
      <c r="E478">
        <v>1596</v>
      </c>
      <c r="F478">
        <v>125</v>
      </c>
      <c r="G478">
        <v>199500</v>
      </c>
      <c r="H478">
        <v>179550</v>
      </c>
      <c r="I478">
        <v>-11970</v>
      </c>
      <c r="J478" s="4" t="s">
        <v>21</v>
      </c>
      <c r="K478">
        <v>2019</v>
      </c>
    </row>
    <row r="479" spans="1:11" hidden="1" x14ac:dyDescent="0.3">
      <c r="A479" s="4" t="s">
        <v>12</v>
      </c>
      <c r="B479" s="4" t="s">
        <v>42</v>
      </c>
      <c r="C479" s="4" t="s">
        <v>20</v>
      </c>
      <c r="D479" s="4" t="s">
        <v>1</v>
      </c>
      <c r="E479">
        <v>2294</v>
      </c>
      <c r="F479">
        <v>300</v>
      </c>
      <c r="G479">
        <v>688200</v>
      </c>
      <c r="H479">
        <v>619380</v>
      </c>
      <c r="I479">
        <v>45880</v>
      </c>
      <c r="J479" s="4" t="s">
        <v>10</v>
      </c>
      <c r="K479">
        <v>2018</v>
      </c>
    </row>
    <row r="480" spans="1:11" hidden="1" x14ac:dyDescent="0.3">
      <c r="A480" s="4" t="s">
        <v>6</v>
      </c>
      <c r="B480" s="4" t="s">
        <v>41</v>
      </c>
      <c r="C480" s="4" t="s">
        <v>20</v>
      </c>
      <c r="D480" s="4" t="s">
        <v>1</v>
      </c>
      <c r="E480">
        <v>241</v>
      </c>
      <c r="F480">
        <v>20</v>
      </c>
      <c r="G480">
        <v>4820</v>
      </c>
      <c r="H480">
        <v>4338</v>
      </c>
      <c r="I480">
        <v>1928</v>
      </c>
      <c r="J480" s="4" t="s">
        <v>10</v>
      </c>
      <c r="K480">
        <v>2019</v>
      </c>
    </row>
    <row r="481" spans="1:11" hidden="1" x14ac:dyDescent="0.3">
      <c r="A481" s="4" t="s">
        <v>6</v>
      </c>
      <c r="B481" s="4" t="s">
        <v>41</v>
      </c>
      <c r="C481" s="4" t="s">
        <v>20</v>
      </c>
      <c r="D481" s="4" t="s">
        <v>1</v>
      </c>
      <c r="E481">
        <v>2665</v>
      </c>
      <c r="F481">
        <v>7</v>
      </c>
      <c r="G481">
        <v>18655</v>
      </c>
      <c r="H481">
        <v>16789.5</v>
      </c>
      <c r="I481">
        <v>3464.5</v>
      </c>
      <c r="J481" s="4" t="s">
        <v>16</v>
      </c>
      <c r="K481">
        <v>2019</v>
      </c>
    </row>
    <row r="482" spans="1:11" hidden="1" x14ac:dyDescent="0.3">
      <c r="A482" s="4" t="s">
        <v>17</v>
      </c>
      <c r="B482" s="4" t="s">
        <v>40</v>
      </c>
      <c r="C482" s="4" t="s">
        <v>20</v>
      </c>
      <c r="D482" s="4" t="s">
        <v>1</v>
      </c>
      <c r="E482">
        <v>1916</v>
      </c>
      <c r="F482">
        <v>125</v>
      </c>
      <c r="G482">
        <v>239500</v>
      </c>
      <c r="H482">
        <v>215550</v>
      </c>
      <c r="I482">
        <v>-14370</v>
      </c>
      <c r="J482" s="4" t="s">
        <v>15</v>
      </c>
      <c r="K482">
        <v>2018</v>
      </c>
    </row>
    <row r="483" spans="1:11" hidden="1" x14ac:dyDescent="0.3">
      <c r="A483" s="4" t="s">
        <v>12</v>
      </c>
      <c r="B483" s="4" t="s">
        <v>14</v>
      </c>
      <c r="C483" s="4" t="s">
        <v>20</v>
      </c>
      <c r="D483" s="4" t="s">
        <v>1</v>
      </c>
      <c r="E483">
        <v>853</v>
      </c>
      <c r="F483">
        <v>300</v>
      </c>
      <c r="G483">
        <v>255900</v>
      </c>
      <c r="H483">
        <v>230310</v>
      </c>
      <c r="I483">
        <v>17060</v>
      </c>
      <c r="J483" s="4" t="s">
        <v>15</v>
      </c>
      <c r="K483">
        <v>2019</v>
      </c>
    </row>
    <row r="484" spans="1:11" hidden="1" x14ac:dyDescent="0.3">
      <c r="A484" s="4" t="s">
        <v>17</v>
      </c>
      <c r="B484" s="4" t="s">
        <v>9</v>
      </c>
      <c r="C484" s="4" t="s">
        <v>2</v>
      </c>
      <c r="D484" s="4" t="s">
        <v>1</v>
      </c>
      <c r="E484">
        <v>341</v>
      </c>
      <c r="F484">
        <v>125</v>
      </c>
      <c r="G484">
        <v>42625</v>
      </c>
      <c r="H484">
        <v>38362.5</v>
      </c>
      <c r="I484">
        <v>-2557.5</v>
      </c>
      <c r="J484" s="4" t="s">
        <v>0</v>
      </c>
      <c r="K484">
        <v>2019</v>
      </c>
    </row>
    <row r="485" spans="1:11" hidden="1" x14ac:dyDescent="0.3">
      <c r="A485" s="4" t="s">
        <v>18</v>
      </c>
      <c r="B485" s="4" t="s">
        <v>9</v>
      </c>
      <c r="C485" s="4" t="s">
        <v>2</v>
      </c>
      <c r="D485" s="4" t="s">
        <v>1</v>
      </c>
      <c r="E485">
        <v>641</v>
      </c>
      <c r="F485">
        <v>15</v>
      </c>
      <c r="G485">
        <v>9615</v>
      </c>
      <c r="H485">
        <v>8653.5</v>
      </c>
      <c r="I485">
        <v>2243.5</v>
      </c>
      <c r="J485" s="4" t="s">
        <v>19</v>
      </c>
      <c r="K485">
        <v>2019</v>
      </c>
    </row>
    <row r="486" spans="1:11" hidden="1" x14ac:dyDescent="0.3">
      <c r="A486" s="4" t="s">
        <v>6</v>
      </c>
      <c r="B486" s="4" t="s">
        <v>42</v>
      </c>
      <c r="C486" s="4" t="s">
        <v>2</v>
      </c>
      <c r="D486" s="4" t="s">
        <v>1</v>
      </c>
      <c r="E486">
        <v>2807</v>
      </c>
      <c r="F486">
        <v>350</v>
      </c>
      <c r="G486">
        <v>982450</v>
      </c>
      <c r="H486">
        <v>884205</v>
      </c>
      <c r="I486">
        <v>154385</v>
      </c>
      <c r="J486" s="4" t="s">
        <v>22</v>
      </c>
      <c r="K486">
        <v>2019</v>
      </c>
    </row>
    <row r="487" spans="1:11" hidden="1" x14ac:dyDescent="0.3">
      <c r="A487" s="4" t="s">
        <v>12</v>
      </c>
      <c r="B487" s="4" t="s">
        <v>9</v>
      </c>
      <c r="C487" s="4" t="s">
        <v>2</v>
      </c>
      <c r="D487" s="4" t="s">
        <v>1</v>
      </c>
      <c r="E487">
        <v>432</v>
      </c>
      <c r="F487">
        <v>300</v>
      </c>
      <c r="G487">
        <v>129600</v>
      </c>
      <c r="H487">
        <v>116640</v>
      </c>
      <c r="I487">
        <v>8640</v>
      </c>
      <c r="J487" s="4" t="s">
        <v>21</v>
      </c>
      <c r="K487">
        <v>2019</v>
      </c>
    </row>
    <row r="488" spans="1:11" hidden="1" x14ac:dyDescent="0.3">
      <c r="A488" s="4" t="s">
        <v>12</v>
      </c>
      <c r="B488" s="4" t="s">
        <v>42</v>
      </c>
      <c r="C488" s="4" t="s">
        <v>2</v>
      </c>
      <c r="D488" s="4" t="s">
        <v>1</v>
      </c>
      <c r="E488">
        <v>2294</v>
      </c>
      <c r="F488">
        <v>300</v>
      </c>
      <c r="G488">
        <v>688200</v>
      </c>
      <c r="H488">
        <v>619380</v>
      </c>
      <c r="I488">
        <v>45880</v>
      </c>
      <c r="J488" s="4" t="s">
        <v>10</v>
      </c>
      <c r="K488">
        <v>2018</v>
      </c>
    </row>
    <row r="489" spans="1:11" hidden="1" x14ac:dyDescent="0.3">
      <c r="A489" s="4" t="s">
        <v>18</v>
      </c>
      <c r="B489" s="4" t="s">
        <v>14</v>
      </c>
      <c r="C489" s="4" t="s">
        <v>2</v>
      </c>
      <c r="D489" s="4" t="s">
        <v>1</v>
      </c>
      <c r="E489">
        <v>2167</v>
      </c>
      <c r="F489">
        <v>15</v>
      </c>
      <c r="G489">
        <v>32505</v>
      </c>
      <c r="H489">
        <v>29254.5</v>
      </c>
      <c r="I489">
        <v>7584.5</v>
      </c>
      <c r="J489" s="4" t="s">
        <v>10</v>
      </c>
      <c r="K489">
        <v>2018</v>
      </c>
    </row>
    <row r="490" spans="1:11" hidden="1" x14ac:dyDescent="0.3">
      <c r="A490" s="4" t="s">
        <v>17</v>
      </c>
      <c r="B490" s="4" t="s">
        <v>40</v>
      </c>
      <c r="C490" s="4" t="s">
        <v>2</v>
      </c>
      <c r="D490" s="4" t="s">
        <v>1</v>
      </c>
      <c r="E490">
        <v>2529</v>
      </c>
      <c r="F490">
        <v>125</v>
      </c>
      <c r="G490">
        <v>316125</v>
      </c>
      <c r="H490">
        <v>284512.5</v>
      </c>
      <c r="I490">
        <v>-18967.5</v>
      </c>
      <c r="J490" s="4" t="s">
        <v>16</v>
      </c>
      <c r="K490">
        <v>2019</v>
      </c>
    </row>
    <row r="491" spans="1:11" hidden="1" x14ac:dyDescent="0.3">
      <c r="A491" s="4" t="s">
        <v>6</v>
      </c>
      <c r="B491" s="4" t="s">
        <v>41</v>
      </c>
      <c r="C491" s="4" t="s">
        <v>2</v>
      </c>
      <c r="D491" s="4" t="s">
        <v>1</v>
      </c>
      <c r="E491">
        <v>1870</v>
      </c>
      <c r="F491">
        <v>350</v>
      </c>
      <c r="G491">
        <v>654500</v>
      </c>
      <c r="H491">
        <v>589050</v>
      </c>
      <c r="I491">
        <v>102850</v>
      </c>
      <c r="J491" s="4" t="s">
        <v>15</v>
      </c>
      <c r="K491">
        <v>2018</v>
      </c>
    </row>
    <row r="492" spans="1:11" hidden="1" x14ac:dyDescent="0.3">
      <c r="A492" s="4" t="s">
        <v>17</v>
      </c>
      <c r="B492" s="4" t="s">
        <v>42</v>
      </c>
      <c r="C492" s="4" t="s">
        <v>11</v>
      </c>
      <c r="D492" s="4" t="s">
        <v>1</v>
      </c>
      <c r="E492">
        <v>579</v>
      </c>
      <c r="F492">
        <v>125</v>
      </c>
      <c r="G492">
        <v>72375</v>
      </c>
      <c r="H492">
        <v>65137.5</v>
      </c>
      <c r="I492">
        <v>-4342.5</v>
      </c>
      <c r="J492" s="4" t="s">
        <v>24</v>
      </c>
      <c r="K492">
        <v>2019</v>
      </c>
    </row>
    <row r="493" spans="1:11" hidden="1" x14ac:dyDescent="0.3">
      <c r="A493" s="4" t="s">
        <v>6</v>
      </c>
      <c r="B493" s="4" t="s">
        <v>40</v>
      </c>
      <c r="C493" s="4" t="s">
        <v>11</v>
      </c>
      <c r="D493" s="4" t="s">
        <v>1</v>
      </c>
      <c r="E493">
        <v>2240</v>
      </c>
      <c r="F493">
        <v>350</v>
      </c>
      <c r="G493">
        <v>784000</v>
      </c>
      <c r="H493">
        <v>705600</v>
      </c>
      <c r="I493">
        <v>123200</v>
      </c>
      <c r="J493" s="4" t="s">
        <v>7</v>
      </c>
      <c r="K493">
        <v>2019</v>
      </c>
    </row>
    <row r="494" spans="1:11" hidden="1" x14ac:dyDescent="0.3">
      <c r="A494" s="4" t="s">
        <v>12</v>
      </c>
      <c r="B494" s="4" t="s">
        <v>42</v>
      </c>
      <c r="C494" s="4" t="s">
        <v>11</v>
      </c>
      <c r="D494" s="4" t="s">
        <v>1</v>
      </c>
      <c r="E494">
        <v>2993</v>
      </c>
      <c r="F494">
        <v>300</v>
      </c>
      <c r="G494">
        <v>897900</v>
      </c>
      <c r="H494">
        <v>808110</v>
      </c>
      <c r="I494">
        <v>59860</v>
      </c>
      <c r="J494" s="4" t="s">
        <v>13</v>
      </c>
      <c r="K494">
        <v>2019</v>
      </c>
    </row>
    <row r="495" spans="1:11" hidden="1" x14ac:dyDescent="0.3">
      <c r="A495" s="4" t="s">
        <v>3</v>
      </c>
      <c r="B495" s="4" t="s">
        <v>40</v>
      </c>
      <c r="C495" s="4" t="s">
        <v>11</v>
      </c>
      <c r="D495" s="4" t="s">
        <v>1</v>
      </c>
      <c r="E495">
        <v>3520.5</v>
      </c>
      <c r="F495">
        <v>12</v>
      </c>
      <c r="G495">
        <v>42246</v>
      </c>
      <c r="H495">
        <v>38021.4</v>
      </c>
      <c r="I495">
        <v>27459.9</v>
      </c>
      <c r="J495" s="4" t="s">
        <v>4</v>
      </c>
      <c r="K495">
        <v>2019</v>
      </c>
    </row>
    <row r="496" spans="1:11" hidden="1" x14ac:dyDescent="0.3">
      <c r="A496" s="4" t="s">
        <v>6</v>
      </c>
      <c r="B496" s="4" t="s">
        <v>9</v>
      </c>
      <c r="C496" s="4" t="s">
        <v>11</v>
      </c>
      <c r="D496" s="4" t="s">
        <v>1</v>
      </c>
      <c r="E496">
        <v>2039</v>
      </c>
      <c r="F496">
        <v>20</v>
      </c>
      <c r="G496">
        <v>40780</v>
      </c>
      <c r="H496">
        <v>36702</v>
      </c>
      <c r="I496">
        <v>16312</v>
      </c>
      <c r="J496" s="4" t="s">
        <v>0</v>
      </c>
      <c r="K496">
        <v>2019</v>
      </c>
    </row>
    <row r="497" spans="1:11" hidden="1" x14ac:dyDescent="0.3">
      <c r="A497" s="4" t="s">
        <v>3</v>
      </c>
      <c r="B497" s="4" t="s">
        <v>41</v>
      </c>
      <c r="C497" s="4" t="s">
        <v>11</v>
      </c>
      <c r="D497" s="4" t="s">
        <v>1</v>
      </c>
      <c r="E497">
        <v>2574</v>
      </c>
      <c r="F497">
        <v>12</v>
      </c>
      <c r="G497">
        <v>30888</v>
      </c>
      <c r="H497">
        <v>27799.200000000001</v>
      </c>
      <c r="I497">
        <v>20077.2</v>
      </c>
      <c r="J497" s="4" t="s">
        <v>22</v>
      </c>
      <c r="K497">
        <v>2019</v>
      </c>
    </row>
    <row r="498" spans="1:11" hidden="1" x14ac:dyDescent="0.3">
      <c r="A498" s="4" t="s">
        <v>6</v>
      </c>
      <c r="B498" s="4" t="s">
        <v>40</v>
      </c>
      <c r="C498" s="4" t="s">
        <v>11</v>
      </c>
      <c r="D498" s="4" t="s">
        <v>1</v>
      </c>
      <c r="E498">
        <v>707</v>
      </c>
      <c r="F498">
        <v>350</v>
      </c>
      <c r="G498">
        <v>247450</v>
      </c>
      <c r="H498">
        <v>222705</v>
      </c>
      <c r="I498">
        <v>38885</v>
      </c>
      <c r="J498" s="4" t="s">
        <v>21</v>
      </c>
      <c r="K498">
        <v>2019</v>
      </c>
    </row>
    <row r="499" spans="1:11" hidden="1" x14ac:dyDescent="0.3">
      <c r="A499" s="4" t="s">
        <v>18</v>
      </c>
      <c r="B499" s="4" t="s">
        <v>14</v>
      </c>
      <c r="C499" s="4" t="s">
        <v>11</v>
      </c>
      <c r="D499" s="4" t="s">
        <v>1</v>
      </c>
      <c r="E499">
        <v>2072</v>
      </c>
      <c r="F499">
        <v>15</v>
      </c>
      <c r="G499">
        <v>31080</v>
      </c>
      <c r="H499">
        <v>27972</v>
      </c>
      <c r="I499">
        <v>7252</v>
      </c>
      <c r="J499" s="4" t="s">
        <v>15</v>
      </c>
      <c r="K499">
        <v>2019</v>
      </c>
    </row>
    <row r="500" spans="1:11" hidden="1" x14ac:dyDescent="0.3">
      <c r="A500" s="4" t="s">
        <v>12</v>
      </c>
      <c r="B500" s="4" t="s">
        <v>14</v>
      </c>
      <c r="C500" s="4" t="s">
        <v>11</v>
      </c>
      <c r="D500" s="4" t="s">
        <v>1</v>
      </c>
      <c r="E500">
        <v>853</v>
      </c>
      <c r="F500">
        <v>300</v>
      </c>
      <c r="G500">
        <v>255900</v>
      </c>
      <c r="H500">
        <v>230310</v>
      </c>
      <c r="I500">
        <v>17060</v>
      </c>
      <c r="J500" s="4" t="s">
        <v>15</v>
      </c>
      <c r="K500">
        <v>2019</v>
      </c>
    </row>
    <row r="501" spans="1:11" x14ac:dyDescent="0.3">
      <c r="A501" s="4" t="s">
        <v>3</v>
      </c>
      <c r="B501" s="4" t="s">
        <v>14</v>
      </c>
      <c r="C501" s="4" t="s">
        <v>23</v>
      </c>
      <c r="D501" s="4" t="s">
        <v>1</v>
      </c>
      <c r="E501">
        <v>1198</v>
      </c>
      <c r="F501">
        <v>12</v>
      </c>
      <c r="G501">
        <v>14376</v>
      </c>
      <c r="H501">
        <v>12794.64</v>
      </c>
      <c r="I501">
        <v>9200.64</v>
      </c>
      <c r="J501" s="4" t="s">
        <v>10</v>
      </c>
      <c r="K501">
        <v>2018</v>
      </c>
    </row>
    <row r="502" spans="1:11" hidden="1" x14ac:dyDescent="0.3">
      <c r="A502" s="4" t="s">
        <v>6</v>
      </c>
      <c r="B502" s="4" t="s">
        <v>14</v>
      </c>
      <c r="C502" s="4" t="s">
        <v>5</v>
      </c>
      <c r="D502" s="4" t="s">
        <v>1</v>
      </c>
      <c r="E502">
        <v>2532</v>
      </c>
      <c r="F502">
        <v>7</v>
      </c>
      <c r="G502">
        <v>17724</v>
      </c>
      <c r="H502">
        <v>15774.36</v>
      </c>
      <c r="I502">
        <v>3114.36</v>
      </c>
      <c r="J502" s="4" t="s">
        <v>4</v>
      </c>
      <c r="K502">
        <v>2019</v>
      </c>
    </row>
    <row r="503" spans="1:11" hidden="1" x14ac:dyDescent="0.3">
      <c r="A503" s="4" t="s">
        <v>3</v>
      </c>
      <c r="B503" s="4" t="s">
        <v>14</v>
      </c>
      <c r="C503" s="4" t="s">
        <v>5</v>
      </c>
      <c r="D503" s="4" t="s">
        <v>1</v>
      </c>
      <c r="E503">
        <v>1198</v>
      </c>
      <c r="F503">
        <v>12</v>
      </c>
      <c r="G503">
        <v>14376</v>
      </c>
      <c r="H503">
        <v>12794.64</v>
      </c>
      <c r="I503">
        <v>9200.64</v>
      </c>
      <c r="J503" s="4" t="s">
        <v>10</v>
      </c>
      <c r="K503">
        <v>2018</v>
      </c>
    </row>
    <row r="504" spans="1:11" hidden="1" x14ac:dyDescent="0.3">
      <c r="A504" s="4" t="s">
        <v>18</v>
      </c>
      <c r="B504" s="4" t="s">
        <v>40</v>
      </c>
      <c r="C504" s="4" t="s">
        <v>20</v>
      </c>
      <c r="D504" s="4" t="s">
        <v>1</v>
      </c>
      <c r="E504">
        <v>384</v>
      </c>
      <c r="F504">
        <v>15</v>
      </c>
      <c r="G504">
        <v>5760</v>
      </c>
      <c r="H504">
        <v>5126.3999999999996</v>
      </c>
      <c r="I504">
        <v>1286.4000000000001</v>
      </c>
      <c r="J504" s="4" t="s">
        <v>24</v>
      </c>
      <c r="K504">
        <v>2019</v>
      </c>
    </row>
    <row r="505" spans="1:11" hidden="1" x14ac:dyDescent="0.3">
      <c r="A505" s="4" t="s">
        <v>3</v>
      </c>
      <c r="B505" s="4" t="s">
        <v>41</v>
      </c>
      <c r="C505" s="4" t="s">
        <v>20</v>
      </c>
      <c r="D505" s="4" t="s">
        <v>1</v>
      </c>
      <c r="E505">
        <v>472</v>
      </c>
      <c r="F505">
        <v>12</v>
      </c>
      <c r="G505">
        <v>5664</v>
      </c>
      <c r="H505">
        <v>5040.96</v>
      </c>
      <c r="I505">
        <v>3624.96</v>
      </c>
      <c r="J505" s="4" t="s">
        <v>10</v>
      </c>
      <c r="K505">
        <v>2019</v>
      </c>
    </row>
    <row r="506" spans="1:11" hidden="1" x14ac:dyDescent="0.3">
      <c r="A506" s="4" t="s">
        <v>6</v>
      </c>
      <c r="B506" s="4" t="s">
        <v>42</v>
      </c>
      <c r="C506" s="4" t="s">
        <v>2</v>
      </c>
      <c r="D506" s="4" t="s">
        <v>1</v>
      </c>
      <c r="E506">
        <v>1579</v>
      </c>
      <c r="F506">
        <v>7</v>
      </c>
      <c r="G506">
        <v>11053</v>
      </c>
      <c r="H506">
        <v>9837.17</v>
      </c>
      <c r="I506">
        <v>1942.17</v>
      </c>
      <c r="J506" s="4" t="s">
        <v>13</v>
      </c>
      <c r="K506">
        <v>2019</v>
      </c>
    </row>
    <row r="507" spans="1:11" hidden="1" x14ac:dyDescent="0.3">
      <c r="A507" s="4" t="s">
        <v>3</v>
      </c>
      <c r="B507" s="4" t="s">
        <v>9</v>
      </c>
      <c r="C507" s="4" t="s">
        <v>2</v>
      </c>
      <c r="D507" s="4" t="s">
        <v>1</v>
      </c>
      <c r="E507">
        <v>1005</v>
      </c>
      <c r="F507">
        <v>12</v>
      </c>
      <c r="G507">
        <v>12060</v>
      </c>
      <c r="H507">
        <v>10733.4</v>
      </c>
      <c r="I507">
        <v>7718.4</v>
      </c>
      <c r="J507" s="4" t="s">
        <v>21</v>
      </c>
      <c r="K507">
        <v>2018</v>
      </c>
    </row>
    <row r="508" spans="1:11" hidden="1" x14ac:dyDescent="0.3">
      <c r="A508" s="4" t="s">
        <v>18</v>
      </c>
      <c r="B508" s="4" t="s">
        <v>42</v>
      </c>
      <c r="C508" s="4" t="s">
        <v>11</v>
      </c>
      <c r="D508" s="4" t="s">
        <v>1</v>
      </c>
      <c r="E508">
        <v>3199.5</v>
      </c>
      <c r="F508">
        <v>15</v>
      </c>
      <c r="G508">
        <v>47992.5</v>
      </c>
      <c r="H508">
        <v>42713.324999999997</v>
      </c>
      <c r="I508">
        <v>10718.325000000001</v>
      </c>
      <c r="J508" s="4" t="s">
        <v>19</v>
      </c>
      <c r="K508">
        <v>2019</v>
      </c>
    </row>
    <row r="509" spans="1:11" hidden="1" x14ac:dyDescent="0.3">
      <c r="A509" s="4" t="s">
        <v>3</v>
      </c>
      <c r="B509" s="4" t="s">
        <v>41</v>
      </c>
      <c r="C509" s="4" t="s">
        <v>11</v>
      </c>
      <c r="D509" s="4" t="s">
        <v>1</v>
      </c>
      <c r="E509">
        <v>472</v>
      </c>
      <c r="F509">
        <v>12</v>
      </c>
      <c r="G509">
        <v>5664</v>
      </c>
      <c r="H509">
        <v>5040.96</v>
      </c>
      <c r="I509">
        <v>3624.96</v>
      </c>
      <c r="J509" s="4" t="s">
        <v>10</v>
      </c>
      <c r="K509">
        <v>2019</v>
      </c>
    </row>
    <row r="510" spans="1:11" x14ac:dyDescent="0.3">
      <c r="A510" s="4" t="s">
        <v>3</v>
      </c>
      <c r="B510" s="4" t="s">
        <v>40</v>
      </c>
      <c r="C510" s="4" t="s">
        <v>23</v>
      </c>
      <c r="D510" s="4" t="s">
        <v>1</v>
      </c>
      <c r="E510">
        <v>1937</v>
      </c>
      <c r="F510">
        <v>12</v>
      </c>
      <c r="G510">
        <v>23244</v>
      </c>
      <c r="H510">
        <v>20687.16</v>
      </c>
      <c r="I510">
        <v>14876.16</v>
      </c>
      <c r="J510" s="4" t="s">
        <v>7</v>
      </c>
      <c r="K510">
        <v>2019</v>
      </c>
    </row>
    <row r="511" spans="1:11" x14ac:dyDescent="0.3">
      <c r="A511" s="4" t="s">
        <v>6</v>
      </c>
      <c r="B511" s="4" t="s">
        <v>41</v>
      </c>
      <c r="C511" s="4" t="s">
        <v>23</v>
      </c>
      <c r="D511" s="4" t="s">
        <v>1</v>
      </c>
      <c r="E511">
        <v>792</v>
      </c>
      <c r="F511">
        <v>350</v>
      </c>
      <c r="G511">
        <v>277200</v>
      </c>
      <c r="H511">
        <v>246708</v>
      </c>
      <c r="I511">
        <v>40788</v>
      </c>
      <c r="J511" s="4" t="s">
        <v>13</v>
      </c>
      <c r="K511">
        <v>2019</v>
      </c>
    </row>
    <row r="512" spans="1:11" x14ac:dyDescent="0.3">
      <c r="A512" s="4" t="s">
        <v>12</v>
      </c>
      <c r="B512" s="4" t="s">
        <v>41</v>
      </c>
      <c r="C512" s="4" t="s">
        <v>23</v>
      </c>
      <c r="D512" s="4" t="s">
        <v>1</v>
      </c>
      <c r="E512">
        <v>2811</v>
      </c>
      <c r="F512">
        <v>300</v>
      </c>
      <c r="G512">
        <v>843300</v>
      </c>
      <c r="H512">
        <v>750537</v>
      </c>
      <c r="I512">
        <v>47787</v>
      </c>
      <c r="J512" s="4" t="s">
        <v>19</v>
      </c>
      <c r="K512">
        <v>2019</v>
      </c>
    </row>
    <row r="513" spans="1:11" x14ac:dyDescent="0.3">
      <c r="A513" s="4" t="s">
        <v>17</v>
      </c>
      <c r="B513" s="4" t="s">
        <v>14</v>
      </c>
      <c r="C513" s="4" t="s">
        <v>23</v>
      </c>
      <c r="D513" s="4" t="s">
        <v>1</v>
      </c>
      <c r="E513">
        <v>2441</v>
      </c>
      <c r="F513">
        <v>125</v>
      </c>
      <c r="G513">
        <v>305125</v>
      </c>
      <c r="H513">
        <v>271561.25</v>
      </c>
      <c r="I513">
        <v>-21358.75</v>
      </c>
      <c r="J513" s="4" t="s">
        <v>10</v>
      </c>
      <c r="K513">
        <v>2019</v>
      </c>
    </row>
    <row r="514" spans="1:11" x14ac:dyDescent="0.3">
      <c r="A514" s="4" t="s">
        <v>18</v>
      </c>
      <c r="B514" s="4" t="s">
        <v>40</v>
      </c>
      <c r="C514" s="4" t="s">
        <v>23</v>
      </c>
      <c r="D514" s="4" t="s">
        <v>1</v>
      </c>
      <c r="E514">
        <v>1560</v>
      </c>
      <c r="F514">
        <v>15</v>
      </c>
      <c r="G514">
        <v>23400</v>
      </c>
      <c r="H514">
        <v>20826</v>
      </c>
      <c r="I514">
        <v>5226</v>
      </c>
      <c r="J514" s="4" t="s">
        <v>16</v>
      </c>
      <c r="K514">
        <v>2018</v>
      </c>
    </row>
    <row r="515" spans="1:11" hidden="1" x14ac:dyDescent="0.3">
      <c r="A515" s="4" t="s">
        <v>6</v>
      </c>
      <c r="B515" s="4" t="s">
        <v>9</v>
      </c>
      <c r="C515" s="4" t="s">
        <v>23</v>
      </c>
      <c r="D515" s="4" t="s">
        <v>1</v>
      </c>
      <c r="E515">
        <v>2706</v>
      </c>
      <c r="F515">
        <v>7</v>
      </c>
      <c r="G515">
        <v>18942</v>
      </c>
      <c r="H515">
        <v>16858.38</v>
      </c>
      <c r="I515">
        <v>3328.38</v>
      </c>
      <c r="J515" s="4" t="s">
        <v>16</v>
      </c>
      <c r="K515">
        <v>2018</v>
      </c>
    </row>
    <row r="516" spans="1:11" x14ac:dyDescent="0.3">
      <c r="A516" s="4" t="s">
        <v>6</v>
      </c>
      <c r="B516" s="4" t="s">
        <v>41</v>
      </c>
      <c r="C516" s="4" t="s">
        <v>8</v>
      </c>
      <c r="D516" s="4" t="s">
        <v>1</v>
      </c>
      <c r="E516">
        <v>766</v>
      </c>
      <c r="F516">
        <v>350</v>
      </c>
      <c r="G516">
        <v>268100</v>
      </c>
      <c r="H516">
        <v>238609</v>
      </c>
      <c r="I516">
        <v>39449</v>
      </c>
      <c r="J516" s="4" t="s">
        <v>24</v>
      </c>
      <c r="K516">
        <v>2019</v>
      </c>
    </row>
    <row r="517" spans="1:11" x14ac:dyDescent="0.3">
      <c r="A517" s="4" t="s">
        <v>6</v>
      </c>
      <c r="B517" s="4" t="s">
        <v>41</v>
      </c>
      <c r="C517" s="4" t="s">
        <v>8</v>
      </c>
      <c r="D517" s="4" t="s">
        <v>1</v>
      </c>
      <c r="E517">
        <v>2992</v>
      </c>
      <c r="F517">
        <v>20</v>
      </c>
      <c r="G517">
        <v>59840</v>
      </c>
      <c r="H517">
        <v>53257.599999999999</v>
      </c>
      <c r="I517">
        <v>23337.599999999999</v>
      </c>
      <c r="J517" s="4" t="s">
        <v>10</v>
      </c>
      <c r="K517">
        <v>2018</v>
      </c>
    </row>
    <row r="518" spans="1:11" hidden="1" x14ac:dyDescent="0.3">
      <c r="A518" s="4" t="s">
        <v>18</v>
      </c>
      <c r="B518" s="4" t="s">
        <v>9</v>
      </c>
      <c r="C518" s="4" t="s">
        <v>8</v>
      </c>
      <c r="D518" s="4" t="s">
        <v>1</v>
      </c>
      <c r="E518">
        <v>2157</v>
      </c>
      <c r="F518">
        <v>15</v>
      </c>
      <c r="G518">
        <v>32355</v>
      </c>
      <c r="H518">
        <v>28795.95</v>
      </c>
      <c r="I518">
        <v>7225.95</v>
      </c>
      <c r="J518" s="4" t="s">
        <v>15</v>
      </c>
      <c r="K518">
        <v>2019</v>
      </c>
    </row>
    <row r="519" spans="1:11" hidden="1" x14ac:dyDescent="0.3">
      <c r="A519" s="4" t="s">
        <v>12</v>
      </c>
      <c r="B519" s="4" t="s">
        <v>40</v>
      </c>
      <c r="C519" s="4" t="s">
        <v>5</v>
      </c>
      <c r="D519" s="4" t="s">
        <v>1</v>
      </c>
      <c r="E519">
        <v>873</v>
      </c>
      <c r="F519">
        <v>300</v>
      </c>
      <c r="G519">
        <v>261900</v>
      </c>
      <c r="H519">
        <v>233091</v>
      </c>
      <c r="I519">
        <v>14841</v>
      </c>
      <c r="J519" s="4" t="s">
        <v>24</v>
      </c>
      <c r="K519">
        <v>2019</v>
      </c>
    </row>
    <row r="520" spans="1:11" hidden="1" x14ac:dyDescent="0.3">
      <c r="A520" s="4" t="s">
        <v>6</v>
      </c>
      <c r="B520" s="4" t="s">
        <v>9</v>
      </c>
      <c r="C520" s="4" t="s">
        <v>5</v>
      </c>
      <c r="D520" s="4" t="s">
        <v>1</v>
      </c>
      <c r="E520">
        <v>1122</v>
      </c>
      <c r="F520">
        <v>20</v>
      </c>
      <c r="G520">
        <v>22440</v>
      </c>
      <c r="H520">
        <v>19971.599999999999</v>
      </c>
      <c r="I520">
        <v>8751.6</v>
      </c>
      <c r="J520" s="4" t="s">
        <v>13</v>
      </c>
      <c r="K520">
        <v>2019</v>
      </c>
    </row>
    <row r="521" spans="1:11" hidden="1" x14ac:dyDescent="0.3">
      <c r="A521" s="4" t="s">
        <v>6</v>
      </c>
      <c r="B521" s="4" t="s">
        <v>40</v>
      </c>
      <c r="C521" s="4" t="s">
        <v>5</v>
      </c>
      <c r="D521" s="4" t="s">
        <v>1</v>
      </c>
      <c r="E521">
        <v>2104.5</v>
      </c>
      <c r="F521">
        <v>350</v>
      </c>
      <c r="G521">
        <v>736575</v>
      </c>
      <c r="H521">
        <v>655551.75</v>
      </c>
      <c r="I521">
        <v>108381.75</v>
      </c>
      <c r="J521" s="4" t="s">
        <v>19</v>
      </c>
      <c r="K521">
        <v>2019</v>
      </c>
    </row>
    <row r="522" spans="1:11" hidden="1" x14ac:dyDescent="0.3">
      <c r="A522" s="4" t="s">
        <v>3</v>
      </c>
      <c r="B522" s="4" t="s">
        <v>40</v>
      </c>
      <c r="C522" s="4" t="s">
        <v>5</v>
      </c>
      <c r="D522" s="4" t="s">
        <v>1</v>
      </c>
      <c r="E522">
        <v>4026</v>
      </c>
      <c r="F522">
        <v>12</v>
      </c>
      <c r="G522">
        <v>48312</v>
      </c>
      <c r="H522">
        <v>42997.68</v>
      </c>
      <c r="I522">
        <v>30919.68</v>
      </c>
      <c r="J522" s="4" t="s">
        <v>19</v>
      </c>
      <c r="K522">
        <v>2019</v>
      </c>
    </row>
    <row r="523" spans="1:11" hidden="1" x14ac:dyDescent="0.3">
      <c r="A523" s="4" t="s">
        <v>3</v>
      </c>
      <c r="B523" s="4" t="s">
        <v>14</v>
      </c>
      <c r="C523" s="4" t="s">
        <v>5</v>
      </c>
      <c r="D523" s="4" t="s">
        <v>1</v>
      </c>
      <c r="E523">
        <v>2425.5</v>
      </c>
      <c r="F523">
        <v>12</v>
      </c>
      <c r="G523">
        <v>29106</v>
      </c>
      <c r="H523">
        <v>25904.34</v>
      </c>
      <c r="I523">
        <v>18627.84</v>
      </c>
      <c r="J523" s="4" t="s">
        <v>19</v>
      </c>
      <c r="K523">
        <v>2019</v>
      </c>
    </row>
    <row r="524" spans="1:11" hidden="1" x14ac:dyDescent="0.3">
      <c r="A524" s="4" t="s">
        <v>6</v>
      </c>
      <c r="B524" s="4" t="s">
        <v>40</v>
      </c>
      <c r="C524" s="4" t="s">
        <v>5</v>
      </c>
      <c r="D524" s="4" t="s">
        <v>1</v>
      </c>
      <c r="E524">
        <v>2394</v>
      </c>
      <c r="F524">
        <v>20</v>
      </c>
      <c r="G524">
        <v>47880</v>
      </c>
      <c r="H524">
        <v>42613.2</v>
      </c>
      <c r="I524">
        <v>18673.2</v>
      </c>
      <c r="J524" s="4" t="s">
        <v>22</v>
      </c>
      <c r="K524">
        <v>2019</v>
      </c>
    </row>
    <row r="525" spans="1:11" hidden="1" x14ac:dyDescent="0.3">
      <c r="A525" s="4" t="s">
        <v>18</v>
      </c>
      <c r="B525" s="4" t="s">
        <v>9</v>
      </c>
      <c r="C525" s="4" t="s">
        <v>5</v>
      </c>
      <c r="D525" s="4" t="s">
        <v>1</v>
      </c>
      <c r="E525">
        <v>1984</v>
      </c>
      <c r="F525">
        <v>15</v>
      </c>
      <c r="G525">
        <v>29760</v>
      </c>
      <c r="H525">
        <v>26486.400000000001</v>
      </c>
      <c r="I525">
        <v>6646.4</v>
      </c>
      <c r="J525" s="4" t="s">
        <v>22</v>
      </c>
      <c r="K525">
        <v>2019</v>
      </c>
    </row>
    <row r="526" spans="1:11" hidden="1" x14ac:dyDescent="0.3">
      <c r="A526" s="4" t="s">
        <v>17</v>
      </c>
      <c r="B526" s="4" t="s">
        <v>14</v>
      </c>
      <c r="C526" s="4" t="s">
        <v>5</v>
      </c>
      <c r="D526" s="4" t="s">
        <v>1</v>
      </c>
      <c r="E526">
        <v>2441</v>
      </c>
      <c r="F526">
        <v>125</v>
      </c>
      <c r="G526">
        <v>305125</v>
      </c>
      <c r="H526">
        <v>271561.25</v>
      </c>
      <c r="I526">
        <v>-21358.75</v>
      </c>
      <c r="J526" s="4" t="s">
        <v>10</v>
      </c>
      <c r="K526">
        <v>2019</v>
      </c>
    </row>
    <row r="527" spans="1:11" hidden="1" x14ac:dyDescent="0.3">
      <c r="A527" s="4" t="s">
        <v>6</v>
      </c>
      <c r="B527" s="4" t="s">
        <v>41</v>
      </c>
      <c r="C527" s="4" t="s">
        <v>5</v>
      </c>
      <c r="D527" s="4" t="s">
        <v>1</v>
      </c>
      <c r="E527">
        <v>2992</v>
      </c>
      <c r="F527">
        <v>20</v>
      </c>
      <c r="G527">
        <v>59840</v>
      </c>
      <c r="H527">
        <v>53257.599999999999</v>
      </c>
      <c r="I527">
        <v>23337.599999999999</v>
      </c>
      <c r="J527" s="4" t="s">
        <v>10</v>
      </c>
      <c r="K527">
        <v>2018</v>
      </c>
    </row>
    <row r="528" spans="1:11" hidden="1" x14ac:dyDescent="0.3">
      <c r="A528" s="4" t="s">
        <v>12</v>
      </c>
      <c r="B528" s="4" t="s">
        <v>40</v>
      </c>
      <c r="C528" s="4" t="s">
        <v>5</v>
      </c>
      <c r="D528" s="4" t="s">
        <v>1</v>
      </c>
      <c r="E528">
        <v>1366</v>
      </c>
      <c r="F528">
        <v>300</v>
      </c>
      <c r="G528">
        <v>409800</v>
      </c>
      <c r="H528">
        <v>364722</v>
      </c>
      <c r="I528">
        <v>23222</v>
      </c>
      <c r="J528" s="4" t="s">
        <v>16</v>
      </c>
      <c r="K528">
        <v>2019</v>
      </c>
    </row>
    <row r="529" spans="1:11" hidden="1" x14ac:dyDescent="0.3">
      <c r="A529" s="4" t="s">
        <v>6</v>
      </c>
      <c r="B529" s="4" t="s">
        <v>14</v>
      </c>
      <c r="C529" s="4" t="s">
        <v>20</v>
      </c>
      <c r="D529" s="4" t="s">
        <v>1</v>
      </c>
      <c r="E529">
        <v>2805</v>
      </c>
      <c r="F529">
        <v>20</v>
      </c>
      <c r="G529">
        <v>56100</v>
      </c>
      <c r="H529">
        <v>49929</v>
      </c>
      <c r="I529">
        <v>21879</v>
      </c>
      <c r="J529" s="4" t="s">
        <v>21</v>
      </c>
      <c r="K529">
        <v>2018</v>
      </c>
    </row>
    <row r="530" spans="1:11" hidden="1" x14ac:dyDescent="0.3">
      <c r="A530" s="4" t="s">
        <v>18</v>
      </c>
      <c r="B530" s="4" t="s">
        <v>9</v>
      </c>
      <c r="C530" s="4" t="s">
        <v>20</v>
      </c>
      <c r="D530" s="4" t="s">
        <v>1</v>
      </c>
      <c r="E530">
        <v>655</v>
      </c>
      <c r="F530">
        <v>15</v>
      </c>
      <c r="G530">
        <v>9825</v>
      </c>
      <c r="H530">
        <v>8744.25</v>
      </c>
      <c r="I530">
        <v>2194.25</v>
      </c>
      <c r="J530" s="4" t="s">
        <v>21</v>
      </c>
      <c r="K530">
        <v>2018</v>
      </c>
    </row>
    <row r="531" spans="1:11" hidden="1" x14ac:dyDescent="0.3">
      <c r="A531" s="4" t="s">
        <v>6</v>
      </c>
      <c r="B531" s="4" t="s">
        <v>9</v>
      </c>
      <c r="C531" s="4" t="s">
        <v>20</v>
      </c>
      <c r="D531" s="4" t="s">
        <v>1</v>
      </c>
      <c r="E531">
        <v>344</v>
      </c>
      <c r="F531">
        <v>350</v>
      </c>
      <c r="G531">
        <v>120400</v>
      </c>
      <c r="H531">
        <v>107156</v>
      </c>
      <c r="I531">
        <v>17716</v>
      </c>
      <c r="J531" s="4" t="s">
        <v>10</v>
      </c>
      <c r="K531">
        <v>2018</v>
      </c>
    </row>
    <row r="532" spans="1:11" hidden="1" x14ac:dyDescent="0.3">
      <c r="A532" s="4" t="s">
        <v>6</v>
      </c>
      <c r="B532" s="4" t="s">
        <v>40</v>
      </c>
      <c r="C532" s="4" t="s">
        <v>20</v>
      </c>
      <c r="D532" s="4" t="s">
        <v>1</v>
      </c>
      <c r="E532">
        <v>1808</v>
      </c>
      <c r="F532">
        <v>7</v>
      </c>
      <c r="G532">
        <v>12656</v>
      </c>
      <c r="H532">
        <v>11263.84</v>
      </c>
      <c r="I532">
        <v>2223.84</v>
      </c>
      <c r="J532" s="4" t="s">
        <v>16</v>
      </c>
      <c r="K532">
        <v>2019</v>
      </c>
    </row>
    <row r="533" spans="1:11" hidden="1" x14ac:dyDescent="0.3">
      <c r="A533" s="4" t="s">
        <v>3</v>
      </c>
      <c r="B533" s="4" t="s">
        <v>14</v>
      </c>
      <c r="C533" s="4" t="s">
        <v>2</v>
      </c>
      <c r="D533" s="4" t="s">
        <v>1</v>
      </c>
      <c r="E533">
        <v>1734</v>
      </c>
      <c r="F533">
        <v>12</v>
      </c>
      <c r="G533">
        <v>20808</v>
      </c>
      <c r="H533">
        <v>18519.12</v>
      </c>
      <c r="I533">
        <v>13317.12</v>
      </c>
      <c r="J533" s="4" t="s">
        <v>24</v>
      </c>
      <c r="K533">
        <v>2019</v>
      </c>
    </row>
    <row r="534" spans="1:11" hidden="1" x14ac:dyDescent="0.3">
      <c r="A534" s="4" t="s">
        <v>17</v>
      </c>
      <c r="B534" s="4" t="s">
        <v>9</v>
      </c>
      <c r="C534" s="4" t="s">
        <v>2</v>
      </c>
      <c r="D534" s="4" t="s">
        <v>1</v>
      </c>
      <c r="E534">
        <v>554</v>
      </c>
      <c r="F534">
        <v>125</v>
      </c>
      <c r="G534">
        <v>69250</v>
      </c>
      <c r="H534">
        <v>61632.5</v>
      </c>
      <c r="I534">
        <v>-4847.5</v>
      </c>
      <c r="J534" s="4" t="s">
        <v>24</v>
      </c>
      <c r="K534">
        <v>2019</v>
      </c>
    </row>
    <row r="535" spans="1:11" hidden="1" x14ac:dyDescent="0.3">
      <c r="A535" s="4" t="s">
        <v>6</v>
      </c>
      <c r="B535" s="4" t="s">
        <v>40</v>
      </c>
      <c r="C535" s="4" t="s">
        <v>2</v>
      </c>
      <c r="D535" s="4" t="s">
        <v>1</v>
      </c>
      <c r="E535">
        <v>2935</v>
      </c>
      <c r="F535">
        <v>20</v>
      </c>
      <c r="G535">
        <v>58700</v>
      </c>
      <c r="H535">
        <v>52243</v>
      </c>
      <c r="I535">
        <v>22893</v>
      </c>
      <c r="J535" s="4" t="s">
        <v>16</v>
      </c>
      <c r="K535">
        <v>2018</v>
      </c>
    </row>
    <row r="536" spans="1:11" hidden="1" x14ac:dyDescent="0.3">
      <c r="A536" s="4" t="s">
        <v>17</v>
      </c>
      <c r="B536" s="4" t="s">
        <v>41</v>
      </c>
      <c r="C536" s="4" t="s">
        <v>11</v>
      </c>
      <c r="D536" s="4" t="s">
        <v>1</v>
      </c>
      <c r="E536">
        <v>3165</v>
      </c>
      <c r="F536">
        <v>125</v>
      </c>
      <c r="G536">
        <v>395625</v>
      </c>
      <c r="H536">
        <v>352106.25</v>
      </c>
      <c r="I536">
        <v>-27693.75</v>
      </c>
      <c r="J536" s="4" t="s">
        <v>24</v>
      </c>
      <c r="K536">
        <v>2019</v>
      </c>
    </row>
    <row r="537" spans="1:11" hidden="1" x14ac:dyDescent="0.3">
      <c r="A537" s="4" t="s">
        <v>6</v>
      </c>
      <c r="B537" s="4" t="s">
        <v>9</v>
      </c>
      <c r="C537" s="4" t="s">
        <v>11</v>
      </c>
      <c r="D537" s="4" t="s">
        <v>1</v>
      </c>
      <c r="E537">
        <v>2629</v>
      </c>
      <c r="F537">
        <v>20</v>
      </c>
      <c r="G537">
        <v>52580</v>
      </c>
      <c r="H537">
        <v>46796.2</v>
      </c>
      <c r="I537">
        <v>20506.2</v>
      </c>
      <c r="J537" s="4" t="s">
        <v>24</v>
      </c>
      <c r="K537">
        <v>2019</v>
      </c>
    </row>
    <row r="538" spans="1:11" hidden="1" x14ac:dyDescent="0.3">
      <c r="A538" s="4" t="s">
        <v>17</v>
      </c>
      <c r="B538" s="4" t="s">
        <v>14</v>
      </c>
      <c r="C538" s="4" t="s">
        <v>11</v>
      </c>
      <c r="D538" s="4" t="s">
        <v>1</v>
      </c>
      <c r="E538">
        <v>1433</v>
      </c>
      <c r="F538">
        <v>125</v>
      </c>
      <c r="G538">
        <v>179125</v>
      </c>
      <c r="H538">
        <v>159421.25</v>
      </c>
      <c r="I538">
        <v>-12538.75</v>
      </c>
      <c r="J538" s="4" t="s">
        <v>0</v>
      </c>
      <c r="K538">
        <v>2019</v>
      </c>
    </row>
    <row r="539" spans="1:11" hidden="1" x14ac:dyDescent="0.3">
      <c r="A539" s="4" t="s">
        <v>17</v>
      </c>
      <c r="B539" s="4" t="s">
        <v>9</v>
      </c>
      <c r="C539" s="4" t="s">
        <v>11</v>
      </c>
      <c r="D539" s="4" t="s">
        <v>1</v>
      </c>
      <c r="E539">
        <v>947</v>
      </c>
      <c r="F539">
        <v>125</v>
      </c>
      <c r="G539">
        <v>118375</v>
      </c>
      <c r="H539">
        <v>105353.75</v>
      </c>
      <c r="I539">
        <v>-8286.25</v>
      </c>
      <c r="J539" s="4" t="s">
        <v>21</v>
      </c>
      <c r="K539">
        <v>2018</v>
      </c>
    </row>
    <row r="540" spans="1:11" hidden="1" x14ac:dyDescent="0.3">
      <c r="A540" s="4" t="s">
        <v>6</v>
      </c>
      <c r="B540" s="4" t="s">
        <v>9</v>
      </c>
      <c r="C540" s="4" t="s">
        <v>11</v>
      </c>
      <c r="D540" s="4" t="s">
        <v>1</v>
      </c>
      <c r="E540">
        <v>344</v>
      </c>
      <c r="F540">
        <v>350</v>
      </c>
      <c r="G540">
        <v>120400</v>
      </c>
      <c r="H540">
        <v>107156</v>
      </c>
      <c r="I540">
        <v>17716</v>
      </c>
      <c r="J540" s="4" t="s">
        <v>10</v>
      </c>
      <c r="K540">
        <v>2018</v>
      </c>
    </row>
    <row r="541" spans="1:11" hidden="1" x14ac:dyDescent="0.3">
      <c r="A541" s="4" t="s">
        <v>18</v>
      </c>
      <c r="B541" s="4" t="s">
        <v>9</v>
      </c>
      <c r="C541" s="4" t="s">
        <v>11</v>
      </c>
      <c r="D541" s="4" t="s">
        <v>1</v>
      </c>
      <c r="E541">
        <v>2157</v>
      </c>
      <c r="F541">
        <v>15</v>
      </c>
      <c r="G541">
        <v>32355</v>
      </c>
      <c r="H541">
        <v>28795.95</v>
      </c>
      <c r="I541">
        <v>7225.95</v>
      </c>
      <c r="J541" s="4" t="s">
        <v>15</v>
      </c>
      <c r="K541">
        <v>2019</v>
      </c>
    </row>
    <row r="542" spans="1:11" hidden="1" x14ac:dyDescent="0.3">
      <c r="A542" s="4" t="s">
        <v>6</v>
      </c>
      <c r="B542" s="4" t="s">
        <v>42</v>
      </c>
      <c r="C542" s="4" t="s">
        <v>5</v>
      </c>
      <c r="D542" s="4" t="s">
        <v>1</v>
      </c>
      <c r="E542">
        <v>380</v>
      </c>
      <c r="F542">
        <v>7</v>
      </c>
      <c r="G542">
        <v>2660</v>
      </c>
      <c r="H542">
        <v>2367.4</v>
      </c>
      <c r="I542">
        <v>467.4</v>
      </c>
      <c r="J542" s="4" t="s">
        <v>21</v>
      </c>
      <c r="K542">
        <v>2018</v>
      </c>
    </row>
    <row r="543" spans="1:11" hidden="1" x14ac:dyDescent="0.3">
      <c r="A543" s="4" t="s">
        <v>6</v>
      </c>
      <c r="B543" s="4" t="s">
        <v>9</v>
      </c>
      <c r="C543" s="4" t="s">
        <v>23</v>
      </c>
      <c r="D543" s="4" t="s">
        <v>1</v>
      </c>
      <c r="E543">
        <v>886</v>
      </c>
      <c r="F543">
        <v>350</v>
      </c>
      <c r="G543">
        <v>310100</v>
      </c>
      <c r="H543">
        <v>272888</v>
      </c>
      <c r="I543">
        <v>42528</v>
      </c>
      <c r="J543" s="4" t="s">
        <v>25</v>
      </c>
      <c r="K543">
        <v>2019</v>
      </c>
    </row>
    <row r="544" spans="1:11" x14ac:dyDescent="0.3">
      <c r="A544" s="4" t="s">
        <v>17</v>
      </c>
      <c r="B544" s="4" t="s">
        <v>40</v>
      </c>
      <c r="C544" s="4" t="s">
        <v>23</v>
      </c>
      <c r="D544" s="4" t="s">
        <v>1</v>
      </c>
      <c r="E544">
        <v>2416</v>
      </c>
      <c r="F544">
        <v>125</v>
      </c>
      <c r="G544">
        <v>302000</v>
      </c>
      <c r="H544">
        <v>265760</v>
      </c>
      <c r="I544">
        <v>-24160</v>
      </c>
      <c r="J544" s="4" t="s">
        <v>21</v>
      </c>
      <c r="K544">
        <v>2018</v>
      </c>
    </row>
    <row r="545" spans="1:11" hidden="1" x14ac:dyDescent="0.3">
      <c r="A545" s="4" t="s">
        <v>17</v>
      </c>
      <c r="B545" s="4" t="s">
        <v>9</v>
      </c>
      <c r="C545" s="4" t="s">
        <v>23</v>
      </c>
      <c r="D545" s="4" t="s">
        <v>1</v>
      </c>
      <c r="E545">
        <v>2156</v>
      </c>
      <c r="F545">
        <v>125</v>
      </c>
      <c r="G545">
        <v>269500</v>
      </c>
      <c r="H545">
        <v>237160</v>
      </c>
      <c r="I545">
        <v>-21560</v>
      </c>
      <c r="J545" s="4" t="s">
        <v>10</v>
      </c>
      <c r="K545">
        <v>2019</v>
      </c>
    </row>
    <row r="546" spans="1:11" x14ac:dyDescent="0.3">
      <c r="A546" s="4" t="s">
        <v>18</v>
      </c>
      <c r="B546" s="4" t="s">
        <v>40</v>
      </c>
      <c r="C546" s="4" t="s">
        <v>23</v>
      </c>
      <c r="D546" s="4" t="s">
        <v>1</v>
      </c>
      <c r="E546">
        <v>2689</v>
      </c>
      <c r="F546">
        <v>15</v>
      </c>
      <c r="G546">
        <v>40335</v>
      </c>
      <c r="H546">
        <v>35494.800000000003</v>
      </c>
      <c r="I546">
        <v>8604.7999999999993</v>
      </c>
      <c r="J546" s="4" t="s">
        <v>16</v>
      </c>
      <c r="K546">
        <v>2019</v>
      </c>
    </row>
    <row r="547" spans="1:11" hidden="1" x14ac:dyDescent="0.3">
      <c r="A547" s="4" t="s">
        <v>18</v>
      </c>
      <c r="B547" s="4" t="s">
        <v>42</v>
      </c>
      <c r="C547" s="4" t="s">
        <v>8</v>
      </c>
      <c r="D547" s="4" t="s">
        <v>1</v>
      </c>
      <c r="E547">
        <v>677</v>
      </c>
      <c r="F547">
        <v>15</v>
      </c>
      <c r="G547">
        <v>10155</v>
      </c>
      <c r="H547">
        <v>8936.4</v>
      </c>
      <c r="I547">
        <v>2166.4</v>
      </c>
      <c r="J547" s="4" t="s">
        <v>13</v>
      </c>
      <c r="K547">
        <v>2019</v>
      </c>
    </row>
    <row r="548" spans="1:11" x14ac:dyDescent="0.3">
      <c r="A548" s="4" t="s">
        <v>12</v>
      </c>
      <c r="B548" s="4" t="s">
        <v>14</v>
      </c>
      <c r="C548" s="4" t="s">
        <v>8</v>
      </c>
      <c r="D548" s="4" t="s">
        <v>1</v>
      </c>
      <c r="E548">
        <v>1773</v>
      </c>
      <c r="F548">
        <v>300</v>
      </c>
      <c r="G548">
        <v>531900</v>
      </c>
      <c r="H548">
        <v>468072</v>
      </c>
      <c r="I548">
        <v>24822</v>
      </c>
      <c r="J548" s="4" t="s">
        <v>4</v>
      </c>
      <c r="K548">
        <v>2019</v>
      </c>
    </row>
    <row r="549" spans="1:11" hidden="1" x14ac:dyDescent="0.3">
      <c r="A549" s="4" t="s">
        <v>6</v>
      </c>
      <c r="B549" s="4" t="s">
        <v>9</v>
      </c>
      <c r="C549" s="4" t="s">
        <v>8</v>
      </c>
      <c r="D549" s="4" t="s">
        <v>1</v>
      </c>
      <c r="E549">
        <v>2420</v>
      </c>
      <c r="F549">
        <v>7</v>
      </c>
      <c r="G549">
        <v>16940</v>
      </c>
      <c r="H549">
        <v>14907.2</v>
      </c>
      <c r="I549">
        <v>2807.2</v>
      </c>
      <c r="J549" s="4" t="s">
        <v>21</v>
      </c>
      <c r="K549">
        <v>2019</v>
      </c>
    </row>
    <row r="550" spans="1:11" x14ac:dyDescent="0.3">
      <c r="A550" s="4" t="s">
        <v>6</v>
      </c>
      <c r="B550" s="4" t="s">
        <v>40</v>
      </c>
      <c r="C550" s="4" t="s">
        <v>8</v>
      </c>
      <c r="D550" s="4" t="s">
        <v>1</v>
      </c>
      <c r="E550">
        <v>2734</v>
      </c>
      <c r="F550">
        <v>7</v>
      </c>
      <c r="G550">
        <v>19138</v>
      </c>
      <c r="H550">
        <v>16841.439999999999</v>
      </c>
      <c r="I550">
        <v>3171.44</v>
      </c>
      <c r="J550" s="4" t="s">
        <v>10</v>
      </c>
      <c r="K550">
        <v>2019</v>
      </c>
    </row>
    <row r="551" spans="1:11" hidden="1" x14ac:dyDescent="0.3">
      <c r="A551" s="4" t="s">
        <v>6</v>
      </c>
      <c r="B551" s="4" t="s">
        <v>9</v>
      </c>
      <c r="C551" s="4" t="s">
        <v>8</v>
      </c>
      <c r="D551" s="4" t="s">
        <v>1</v>
      </c>
      <c r="E551">
        <v>1715</v>
      </c>
      <c r="F551">
        <v>20</v>
      </c>
      <c r="G551">
        <v>34300</v>
      </c>
      <c r="H551">
        <v>30184</v>
      </c>
      <c r="I551">
        <v>13034</v>
      </c>
      <c r="J551" s="4" t="s">
        <v>10</v>
      </c>
      <c r="K551">
        <v>2018</v>
      </c>
    </row>
    <row r="552" spans="1:11" x14ac:dyDescent="0.3">
      <c r="A552" s="4" t="s">
        <v>12</v>
      </c>
      <c r="B552" s="4" t="s">
        <v>14</v>
      </c>
      <c r="C552" s="4" t="s">
        <v>8</v>
      </c>
      <c r="D552" s="4" t="s">
        <v>1</v>
      </c>
      <c r="E552">
        <v>1186</v>
      </c>
      <c r="F552">
        <v>300</v>
      </c>
      <c r="G552">
        <v>355800</v>
      </c>
      <c r="H552">
        <v>313104</v>
      </c>
      <c r="I552">
        <v>16604</v>
      </c>
      <c r="J552" s="4" t="s">
        <v>15</v>
      </c>
      <c r="K552">
        <v>2018</v>
      </c>
    </row>
    <row r="553" spans="1:11" hidden="1" x14ac:dyDescent="0.3">
      <c r="A553" s="4" t="s">
        <v>12</v>
      </c>
      <c r="B553" s="4" t="s">
        <v>42</v>
      </c>
      <c r="C553" s="4" t="s">
        <v>5</v>
      </c>
      <c r="D553" s="4" t="s">
        <v>1</v>
      </c>
      <c r="E553">
        <v>3495</v>
      </c>
      <c r="F553">
        <v>300</v>
      </c>
      <c r="G553">
        <v>1048500</v>
      </c>
      <c r="H553">
        <v>922680</v>
      </c>
      <c r="I553">
        <v>48930</v>
      </c>
      <c r="J553" s="4" t="s">
        <v>24</v>
      </c>
      <c r="K553">
        <v>2019</v>
      </c>
    </row>
    <row r="554" spans="1:11" hidden="1" x14ac:dyDescent="0.3">
      <c r="A554" s="4" t="s">
        <v>6</v>
      </c>
      <c r="B554" s="4" t="s">
        <v>9</v>
      </c>
      <c r="C554" s="4" t="s">
        <v>5</v>
      </c>
      <c r="D554" s="4" t="s">
        <v>1</v>
      </c>
      <c r="E554">
        <v>886</v>
      </c>
      <c r="F554">
        <v>350</v>
      </c>
      <c r="G554">
        <v>310100</v>
      </c>
      <c r="H554">
        <v>272888</v>
      </c>
      <c r="I554">
        <v>42528</v>
      </c>
      <c r="J554" s="4" t="s">
        <v>25</v>
      </c>
      <c r="K554">
        <v>2019</v>
      </c>
    </row>
    <row r="555" spans="1:11" hidden="1" x14ac:dyDescent="0.3">
      <c r="A555" s="4" t="s">
        <v>17</v>
      </c>
      <c r="B555" s="4" t="s">
        <v>9</v>
      </c>
      <c r="C555" s="4" t="s">
        <v>5</v>
      </c>
      <c r="D555" s="4" t="s">
        <v>1</v>
      </c>
      <c r="E555">
        <v>2156</v>
      </c>
      <c r="F555">
        <v>125</v>
      </c>
      <c r="G555">
        <v>269500</v>
      </c>
      <c r="H555">
        <v>237160</v>
      </c>
      <c r="I555">
        <v>-21560</v>
      </c>
      <c r="J555" s="4" t="s">
        <v>10</v>
      </c>
      <c r="K555">
        <v>2019</v>
      </c>
    </row>
    <row r="556" spans="1:11" hidden="1" x14ac:dyDescent="0.3">
      <c r="A556" s="4" t="s">
        <v>6</v>
      </c>
      <c r="B556" s="4" t="s">
        <v>9</v>
      </c>
      <c r="C556" s="4" t="s">
        <v>5</v>
      </c>
      <c r="D556" s="4" t="s">
        <v>1</v>
      </c>
      <c r="E556">
        <v>905</v>
      </c>
      <c r="F556">
        <v>20</v>
      </c>
      <c r="G556">
        <v>18100</v>
      </c>
      <c r="H556">
        <v>15928</v>
      </c>
      <c r="I556">
        <v>6878</v>
      </c>
      <c r="J556" s="4" t="s">
        <v>10</v>
      </c>
      <c r="K556">
        <v>2019</v>
      </c>
    </row>
    <row r="557" spans="1:11" hidden="1" x14ac:dyDescent="0.3">
      <c r="A557" s="4" t="s">
        <v>6</v>
      </c>
      <c r="B557" s="4" t="s">
        <v>9</v>
      </c>
      <c r="C557" s="4" t="s">
        <v>5</v>
      </c>
      <c r="D557" s="4" t="s">
        <v>1</v>
      </c>
      <c r="E557">
        <v>1715</v>
      </c>
      <c r="F557">
        <v>20</v>
      </c>
      <c r="G557">
        <v>34300</v>
      </c>
      <c r="H557">
        <v>30184</v>
      </c>
      <c r="I557">
        <v>13034</v>
      </c>
      <c r="J557" s="4" t="s">
        <v>10</v>
      </c>
      <c r="K557">
        <v>2018</v>
      </c>
    </row>
    <row r="558" spans="1:11" hidden="1" x14ac:dyDescent="0.3">
      <c r="A558" s="4" t="s">
        <v>6</v>
      </c>
      <c r="B558" s="4" t="s">
        <v>14</v>
      </c>
      <c r="C558" s="4" t="s">
        <v>5</v>
      </c>
      <c r="D558" s="4" t="s">
        <v>1</v>
      </c>
      <c r="E558">
        <v>1594</v>
      </c>
      <c r="F558">
        <v>350</v>
      </c>
      <c r="G558">
        <v>557900</v>
      </c>
      <c r="H558">
        <v>490952</v>
      </c>
      <c r="I558">
        <v>76512</v>
      </c>
      <c r="J558" s="4" t="s">
        <v>16</v>
      </c>
      <c r="K558">
        <v>2019</v>
      </c>
    </row>
    <row r="559" spans="1:11" hidden="1" x14ac:dyDescent="0.3">
      <c r="A559" s="4" t="s">
        <v>12</v>
      </c>
      <c r="B559" s="4" t="s">
        <v>41</v>
      </c>
      <c r="C559" s="4" t="s">
        <v>5</v>
      </c>
      <c r="D559" s="4" t="s">
        <v>1</v>
      </c>
      <c r="E559">
        <v>1359</v>
      </c>
      <c r="F559">
        <v>300</v>
      </c>
      <c r="G559">
        <v>407700</v>
      </c>
      <c r="H559">
        <v>358776</v>
      </c>
      <c r="I559">
        <v>19026</v>
      </c>
      <c r="J559" s="4" t="s">
        <v>16</v>
      </c>
      <c r="K559">
        <v>2019</v>
      </c>
    </row>
    <row r="560" spans="1:11" hidden="1" x14ac:dyDescent="0.3">
      <c r="A560" s="4" t="s">
        <v>12</v>
      </c>
      <c r="B560" s="4" t="s">
        <v>9</v>
      </c>
      <c r="C560" s="4" t="s">
        <v>5</v>
      </c>
      <c r="D560" s="4" t="s">
        <v>1</v>
      </c>
      <c r="E560">
        <v>2150</v>
      </c>
      <c r="F560">
        <v>300</v>
      </c>
      <c r="G560">
        <v>645000</v>
      </c>
      <c r="H560">
        <v>567600</v>
      </c>
      <c r="I560">
        <v>30100</v>
      </c>
      <c r="J560" s="4" t="s">
        <v>16</v>
      </c>
      <c r="K560">
        <v>2019</v>
      </c>
    </row>
    <row r="561" spans="1:11" hidden="1" x14ac:dyDescent="0.3">
      <c r="A561" s="4" t="s">
        <v>6</v>
      </c>
      <c r="B561" s="4" t="s">
        <v>9</v>
      </c>
      <c r="C561" s="4" t="s">
        <v>5</v>
      </c>
      <c r="D561" s="4" t="s">
        <v>1</v>
      </c>
      <c r="E561">
        <v>1197</v>
      </c>
      <c r="F561">
        <v>350</v>
      </c>
      <c r="G561">
        <v>418950</v>
      </c>
      <c r="H561">
        <v>368676</v>
      </c>
      <c r="I561">
        <v>57456</v>
      </c>
      <c r="J561" s="4" t="s">
        <v>16</v>
      </c>
      <c r="K561">
        <v>2019</v>
      </c>
    </row>
    <row r="562" spans="1:11" hidden="1" x14ac:dyDescent="0.3">
      <c r="A562" s="4" t="s">
        <v>18</v>
      </c>
      <c r="B562" s="4" t="s">
        <v>9</v>
      </c>
      <c r="C562" s="4" t="s">
        <v>5</v>
      </c>
      <c r="D562" s="4" t="s">
        <v>1</v>
      </c>
      <c r="E562">
        <v>380</v>
      </c>
      <c r="F562">
        <v>15</v>
      </c>
      <c r="G562">
        <v>5700</v>
      </c>
      <c r="H562">
        <v>5016</v>
      </c>
      <c r="I562">
        <v>1216</v>
      </c>
      <c r="J562" s="4" t="s">
        <v>15</v>
      </c>
      <c r="K562">
        <v>2018</v>
      </c>
    </row>
    <row r="563" spans="1:11" hidden="1" x14ac:dyDescent="0.3">
      <c r="A563" s="4" t="s">
        <v>6</v>
      </c>
      <c r="B563" s="4" t="s">
        <v>9</v>
      </c>
      <c r="C563" s="4" t="s">
        <v>5</v>
      </c>
      <c r="D563" s="4" t="s">
        <v>1</v>
      </c>
      <c r="E563">
        <v>1233</v>
      </c>
      <c r="F563">
        <v>20</v>
      </c>
      <c r="G563">
        <v>24660</v>
      </c>
      <c r="H563">
        <v>21700.799999999999</v>
      </c>
      <c r="I563">
        <v>9370.7999999999993</v>
      </c>
      <c r="J563" s="4" t="s">
        <v>15</v>
      </c>
      <c r="K563">
        <v>2019</v>
      </c>
    </row>
    <row r="564" spans="1:11" hidden="1" x14ac:dyDescent="0.3">
      <c r="A564" s="4" t="s">
        <v>6</v>
      </c>
      <c r="B564" s="4" t="s">
        <v>9</v>
      </c>
      <c r="C564" s="4" t="s">
        <v>20</v>
      </c>
      <c r="D564" s="4" t="s">
        <v>1</v>
      </c>
      <c r="E564">
        <v>1395</v>
      </c>
      <c r="F564">
        <v>350</v>
      </c>
      <c r="G564">
        <v>488250</v>
      </c>
      <c r="H564">
        <v>429660</v>
      </c>
      <c r="I564">
        <v>66960</v>
      </c>
      <c r="J564" s="4" t="s">
        <v>19</v>
      </c>
      <c r="K564">
        <v>2019</v>
      </c>
    </row>
    <row r="565" spans="1:11" hidden="1" x14ac:dyDescent="0.3">
      <c r="A565" s="4" t="s">
        <v>6</v>
      </c>
      <c r="B565" s="4" t="s">
        <v>42</v>
      </c>
      <c r="C565" s="4" t="s">
        <v>20</v>
      </c>
      <c r="D565" s="4" t="s">
        <v>1</v>
      </c>
      <c r="E565">
        <v>986</v>
      </c>
      <c r="F565">
        <v>350</v>
      </c>
      <c r="G565">
        <v>345100</v>
      </c>
      <c r="H565">
        <v>303688</v>
      </c>
      <c r="I565">
        <v>47328</v>
      </c>
      <c r="J565" s="4" t="s">
        <v>10</v>
      </c>
      <c r="K565">
        <v>2019</v>
      </c>
    </row>
    <row r="566" spans="1:11" hidden="1" x14ac:dyDescent="0.3">
      <c r="A566" s="4" t="s">
        <v>6</v>
      </c>
      <c r="B566" s="4" t="s">
        <v>9</v>
      </c>
      <c r="C566" s="4" t="s">
        <v>20</v>
      </c>
      <c r="D566" s="4" t="s">
        <v>1</v>
      </c>
      <c r="E566">
        <v>905</v>
      </c>
      <c r="F566">
        <v>20</v>
      </c>
      <c r="G566">
        <v>18100</v>
      </c>
      <c r="H566">
        <v>15928</v>
      </c>
      <c r="I566">
        <v>6878</v>
      </c>
      <c r="J566" s="4" t="s">
        <v>10</v>
      </c>
      <c r="K566">
        <v>2019</v>
      </c>
    </row>
    <row r="567" spans="1:11" hidden="1" x14ac:dyDescent="0.3">
      <c r="A567" s="4" t="s">
        <v>3</v>
      </c>
      <c r="B567" s="4" t="s">
        <v>40</v>
      </c>
      <c r="C567" s="4" t="s">
        <v>2</v>
      </c>
      <c r="D567" s="4" t="s">
        <v>1</v>
      </c>
      <c r="E567">
        <v>2109</v>
      </c>
      <c r="F567">
        <v>12</v>
      </c>
      <c r="G567">
        <v>25308</v>
      </c>
      <c r="H567">
        <v>22271.040000000001</v>
      </c>
      <c r="I567">
        <v>15944.04</v>
      </c>
      <c r="J567" s="4" t="s">
        <v>0</v>
      </c>
      <c r="K567">
        <v>2019</v>
      </c>
    </row>
    <row r="568" spans="1:11" hidden="1" x14ac:dyDescent="0.3">
      <c r="A568" s="4" t="s">
        <v>18</v>
      </c>
      <c r="B568" s="4" t="s">
        <v>14</v>
      </c>
      <c r="C568" s="4" t="s">
        <v>2</v>
      </c>
      <c r="D568" s="4" t="s">
        <v>1</v>
      </c>
      <c r="E568">
        <v>3874.5</v>
      </c>
      <c r="F568">
        <v>15</v>
      </c>
      <c r="G568">
        <v>58117.5</v>
      </c>
      <c r="H568">
        <v>51143.4</v>
      </c>
      <c r="I568">
        <v>12398.4</v>
      </c>
      <c r="J568" s="4" t="s">
        <v>19</v>
      </c>
      <c r="K568">
        <v>2019</v>
      </c>
    </row>
    <row r="569" spans="1:11" hidden="1" x14ac:dyDescent="0.3">
      <c r="A569" s="4" t="s">
        <v>6</v>
      </c>
      <c r="B569" s="4" t="s">
        <v>40</v>
      </c>
      <c r="C569" s="4" t="s">
        <v>2</v>
      </c>
      <c r="D569" s="4" t="s">
        <v>1</v>
      </c>
      <c r="E569">
        <v>623</v>
      </c>
      <c r="F569">
        <v>350</v>
      </c>
      <c r="G569">
        <v>218050</v>
      </c>
      <c r="H569">
        <v>191884</v>
      </c>
      <c r="I569">
        <v>29904</v>
      </c>
      <c r="J569" s="4" t="s">
        <v>21</v>
      </c>
      <c r="K569">
        <v>2018</v>
      </c>
    </row>
    <row r="570" spans="1:11" hidden="1" x14ac:dyDescent="0.3">
      <c r="A570" s="4" t="s">
        <v>6</v>
      </c>
      <c r="B570" s="4" t="s">
        <v>42</v>
      </c>
      <c r="C570" s="4" t="s">
        <v>2</v>
      </c>
      <c r="D570" s="4" t="s">
        <v>1</v>
      </c>
      <c r="E570">
        <v>986</v>
      </c>
      <c r="F570">
        <v>350</v>
      </c>
      <c r="G570">
        <v>345100</v>
      </c>
      <c r="H570">
        <v>303688</v>
      </c>
      <c r="I570">
        <v>47328</v>
      </c>
      <c r="J570" s="4" t="s">
        <v>10</v>
      </c>
      <c r="K570">
        <v>2019</v>
      </c>
    </row>
    <row r="571" spans="1:11" hidden="1" x14ac:dyDescent="0.3">
      <c r="A571" s="4" t="s">
        <v>17</v>
      </c>
      <c r="B571" s="4" t="s">
        <v>42</v>
      </c>
      <c r="C571" s="4" t="s">
        <v>2</v>
      </c>
      <c r="D571" s="4" t="s">
        <v>1</v>
      </c>
      <c r="E571">
        <v>2387</v>
      </c>
      <c r="F571">
        <v>125</v>
      </c>
      <c r="G571">
        <v>298375</v>
      </c>
      <c r="H571">
        <v>262570</v>
      </c>
      <c r="I571">
        <v>-23870</v>
      </c>
      <c r="J571" s="4" t="s">
        <v>16</v>
      </c>
      <c r="K571">
        <v>2019</v>
      </c>
    </row>
    <row r="572" spans="1:11" hidden="1" x14ac:dyDescent="0.3">
      <c r="A572" s="4" t="s">
        <v>6</v>
      </c>
      <c r="B572" s="4" t="s">
        <v>9</v>
      </c>
      <c r="C572" s="4" t="s">
        <v>2</v>
      </c>
      <c r="D572" s="4" t="s">
        <v>1</v>
      </c>
      <c r="E572">
        <v>1233</v>
      </c>
      <c r="F572">
        <v>20</v>
      </c>
      <c r="G572">
        <v>24660</v>
      </c>
      <c r="H572">
        <v>21700.799999999999</v>
      </c>
      <c r="I572">
        <v>9370.7999999999993</v>
      </c>
      <c r="J572" s="4" t="s">
        <v>15</v>
      </c>
      <c r="K572">
        <v>2019</v>
      </c>
    </row>
    <row r="573" spans="1:11" hidden="1" x14ac:dyDescent="0.3">
      <c r="A573" s="4" t="s">
        <v>6</v>
      </c>
      <c r="B573" s="4" t="s">
        <v>42</v>
      </c>
      <c r="C573" s="4" t="s">
        <v>11</v>
      </c>
      <c r="D573" s="4" t="s">
        <v>1</v>
      </c>
      <c r="E573">
        <v>270</v>
      </c>
      <c r="F573">
        <v>350</v>
      </c>
      <c r="G573">
        <v>94500</v>
      </c>
      <c r="H573">
        <v>83160</v>
      </c>
      <c r="I573">
        <v>12960</v>
      </c>
      <c r="J573" s="4" t="s">
        <v>7</v>
      </c>
      <c r="K573">
        <v>2019</v>
      </c>
    </row>
    <row r="574" spans="1:11" hidden="1" x14ac:dyDescent="0.3">
      <c r="A574" s="4" t="s">
        <v>6</v>
      </c>
      <c r="B574" s="4" t="s">
        <v>14</v>
      </c>
      <c r="C574" s="4" t="s">
        <v>11</v>
      </c>
      <c r="D574" s="4" t="s">
        <v>1</v>
      </c>
      <c r="E574">
        <v>3421.5</v>
      </c>
      <c r="F574">
        <v>7</v>
      </c>
      <c r="G574">
        <v>23950.5</v>
      </c>
      <c r="H574">
        <v>21076.44</v>
      </c>
      <c r="I574">
        <v>3968.94</v>
      </c>
      <c r="J574" s="4" t="s">
        <v>19</v>
      </c>
      <c r="K574">
        <v>2019</v>
      </c>
    </row>
    <row r="575" spans="1:11" hidden="1" x14ac:dyDescent="0.3">
      <c r="A575" s="4" t="s">
        <v>6</v>
      </c>
      <c r="B575" s="4" t="s">
        <v>40</v>
      </c>
      <c r="C575" s="4" t="s">
        <v>11</v>
      </c>
      <c r="D575" s="4" t="s">
        <v>1</v>
      </c>
      <c r="E575">
        <v>2734</v>
      </c>
      <c r="F575">
        <v>7</v>
      </c>
      <c r="G575">
        <v>19138</v>
      </c>
      <c r="H575">
        <v>16841.439999999999</v>
      </c>
      <c r="I575">
        <v>3171.44</v>
      </c>
      <c r="J575" s="4" t="s">
        <v>10</v>
      </c>
      <c r="K575">
        <v>2019</v>
      </c>
    </row>
    <row r="576" spans="1:11" hidden="1" x14ac:dyDescent="0.3">
      <c r="A576" s="4" t="s">
        <v>18</v>
      </c>
      <c r="B576" s="4" t="s">
        <v>42</v>
      </c>
      <c r="C576" s="4" t="s">
        <v>11</v>
      </c>
      <c r="D576" s="4" t="s">
        <v>1</v>
      </c>
      <c r="E576">
        <v>2548</v>
      </c>
      <c r="F576">
        <v>15</v>
      </c>
      <c r="G576">
        <v>38220</v>
      </c>
      <c r="H576">
        <v>33633.599999999999</v>
      </c>
      <c r="I576">
        <v>8153.6</v>
      </c>
      <c r="J576" s="4" t="s">
        <v>16</v>
      </c>
      <c r="K576">
        <v>2018</v>
      </c>
    </row>
    <row r="577" spans="1:11" x14ac:dyDescent="0.3">
      <c r="A577" s="4" t="s">
        <v>6</v>
      </c>
      <c r="B577" s="4" t="s">
        <v>14</v>
      </c>
      <c r="C577" s="4" t="s">
        <v>23</v>
      </c>
      <c r="D577" s="4" t="s">
        <v>1</v>
      </c>
      <c r="E577">
        <v>2521.5</v>
      </c>
      <c r="F577">
        <v>20</v>
      </c>
      <c r="G577">
        <v>50430</v>
      </c>
      <c r="H577">
        <v>44378.400000000001</v>
      </c>
      <c r="I577">
        <v>19163.400000000001</v>
      </c>
      <c r="J577" s="4" t="s">
        <v>24</v>
      </c>
      <c r="K577">
        <v>2019</v>
      </c>
    </row>
    <row r="578" spans="1:11" hidden="1" x14ac:dyDescent="0.3">
      <c r="A578" s="4" t="s">
        <v>3</v>
      </c>
      <c r="B578" s="4" t="s">
        <v>9</v>
      </c>
      <c r="C578" s="4" t="s">
        <v>8</v>
      </c>
      <c r="D578" s="4" t="s">
        <v>1</v>
      </c>
      <c r="E578">
        <v>2661</v>
      </c>
      <c r="F578">
        <v>12</v>
      </c>
      <c r="G578">
        <v>31932</v>
      </c>
      <c r="H578">
        <v>28100.16</v>
      </c>
      <c r="I578">
        <v>20117.16</v>
      </c>
      <c r="J578" s="4" t="s">
        <v>0</v>
      </c>
      <c r="K578">
        <v>2019</v>
      </c>
    </row>
    <row r="579" spans="1:11" hidden="1" x14ac:dyDescent="0.3">
      <c r="A579" s="4" t="s">
        <v>6</v>
      </c>
      <c r="B579" s="4" t="s">
        <v>41</v>
      </c>
      <c r="C579" s="4" t="s">
        <v>5</v>
      </c>
      <c r="D579" s="4" t="s">
        <v>1</v>
      </c>
      <c r="E579">
        <v>1531</v>
      </c>
      <c r="F579">
        <v>20</v>
      </c>
      <c r="G579">
        <v>30620</v>
      </c>
      <c r="H579">
        <v>26945.599999999999</v>
      </c>
      <c r="I579">
        <v>11635.6</v>
      </c>
      <c r="J579" s="4" t="s">
        <v>15</v>
      </c>
      <c r="K579">
        <v>2019</v>
      </c>
    </row>
    <row r="580" spans="1:11" hidden="1" x14ac:dyDescent="0.3">
      <c r="A580" s="4" t="s">
        <v>6</v>
      </c>
      <c r="B580" s="4" t="s">
        <v>14</v>
      </c>
      <c r="C580" s="4" t="s">
        <v>2</v>
      </c>
      <c r="D580" s="4" t="s">
        <v>1</v>
      </c>
      <c r="E580">
        <v>1491</v>
      </c>
      <c r="F580">
        <v>7</v>
      </c>
      <c r="G580">
        <v>10437</v>
      </c>
      <c r="H580">
        <v>9184.56</v>
      </c>
      <c r="I580">
        <v>1729.56</v>
      </c>
      <c r="J580" s="4" t="s">
        <v>13</v>
      </c>
      <c r="K580">
        <v>2019</v>
      </c>
    </row>
    <row r="581" spans="1:11" hidden="1" x14ac:dyDescent="0.3">
      <c r="A581" s="4" t="s">
        <v>6</v>
      </c>
      <c r="B581" s="4" t="s">
        <v>41</v>
      </c>
      <c r="C581" s="4" t="s">
        <v>2</v>
      </c>
      <c r="D581" s="4" t="s">
        <v>1</v>
      </c>
      <c r="E581">
        <v>1531</v>
      </c>
      <c r="F581">
        <v>20</v>
      </c>
      <c r="G581">
        <v>30620</v>
      </c>
      <c r="H581">
        <v>26945.599999999999</v>
      </c>
      <c r="I581">
        <v>11635.6</v>
      </c>
      <c r="J581" s="4" t="s">
        <v>15</v>
      </c>
      <c r="K581">
        <v>2019</v>
      </c>
    </row>
    <row r="582" spans="1:11" hidden="1" x14ac:dyDescent="0.3">
      <c r="A582" s="4" t="s">
        <v>3</v>
      </c>
      <c r="B582" s="4" t="s">
        <v>40</v>
      </c>
      <c r="C582" s="4" t="s">
        <v>11</v>
      </c>
      <c r="D582" s="4" t="s">
        <v>1</v>
      </c>
      <c r="E582">
        <v>2761</v>
      </c>
      <c r="F582">
        <v>12</v>
      </c>
      <c r="G582">
        <v>33132</v>
      </c>
      <c r="H582">
        <v>29156.16</v>
      </c>
      <c r="I582">
        <v>20873.16</v>
      </c>
      <c r="J582" s="4" t="s">
        <v>21</v>
      </c>
      <c r="K582">
        <v>2018</v>
      </c>
    </row>
    <row r="583" spans="1:11" hidden="1" x14ac:dyDescent="0.3">
      <c r="A583" s="4" t="s">
        <v>18</v>
      </c>
      <c r="B583" s="4" t="s">
        <v>42</v>
      </c>
      <c r="C583" s="4" t="s">
        <v>23</v>
      </c>
      <c r="D583" s="4" t="s">
        <v>1</v>
      </c>
      <c r="E583">
        <v>2567</v>
      </c>
      <c r="F583">
        <v>15</v>
      </c>
      <c r="G583">
        <v>38505</v>
      </c>
      <c r="H583">
        <v>33499.35</v>
      </c>
      <c r="I583">
        <v>7829.35</v>
      </c>
      <c r="J583" s="4" t="s">
        <v>25</v>
      </c>
      <c r="K583">
        <v>2019</v>
      </c>
    </row>
    <row r="584" spans="1:11" hidden="1" x14ac:dyDescent="0.3">
      <c r="A584" s="4" t="s">
        <v>18</v>
      </c>
      <c r="B584" s="4" t="s">
        <v>42</v>
      </c>
      <c r="C584" s="4" t="s">
        <v>2</v>
      </c>
      <c r="D584" s="4" t="s">
        <v>1</v>
      </c>
      <c r="E584">
        <v>2567</v>
      </c>
      <c r="F584">
        <v>15</v>
      </c>
      <c r="G584">
        <v>38505</v>
      </c>
      <c r="H584">
        <v>33499.35</v>
      </c>
      <c r="I584">
        <v>7829.35</v>
      </c>
      <c r="J584" s="4" t="s">
        <v>25</v>
      </c>
      <c r="K584">
        <v>2019</v>
      </c>
    </row>
    <row r="585" spans="1:11" x14ac:dyDescent="0.3">
      <c r="A585" s="4" t="s">
        <v>6</v>
      </c>
      <c r="B585" s="4" t="s">
        <v>40</v>
      </c>
      <c r="C585" s="4" t="s">
        <v>23</v>
      </c>
      <c r="D585" s="4" t="s">
        <v>1</v>
      </c>
      <c r="E585">
        <v>923</v>
      </c>
      <c r="F585">
        <v>350</v>
      </c>
      <c r="G585">
        <v>323050</v>
      </c>
      <c r="H585">
        <v>281053.5</v>
      </c>
      <c r="I585">
        <v>41073.5</v>
      </c>
      <c r="J585" s="4" t="s">
        <v>13</v>
      </c>
      <c r="K585">
        <v>2019</v>
      </c>
    </row>
    <row r="586" spans="1:11" x14ac:dyDescent="0.3">
      <c r="A586" s="4" t="s">
        <v>6</v>
      </c>
      <c r="B586" s="4" t="s">
        <v>14</v>
      </c>
      <c r="C586" s="4" t="s">
        <v>23</v>
      </c>
      <c r="D586" s="4" t="s">
        <v>1</v>
      </c>
      <c r="E586">
        <v>1790</v>
      </c>
      <c r="F586">
        <v>350</v>
      </c>
      <c r="G586">
        <v>626500</v>
      </c>
      <c r="H586">
        <v>545055</v>
      </c>
      <c r="I586">
        <v>79655</v>
      </c>
      <c r="J586" s="4" t="s">
        <v>13</v>
      </c>
      <c r="K586">
        <v>2019</v>
      </c>
    </row>
    <row r="587" spans="1:11" x14ac:dyDescent="0.3">
      <c r="A587" s="4" t="s">
        <v>6</v>
      </c>
      <c r="B587" s="4" t="s">
        <v>41</v>
      </c>
      <c r="C587" s="4" t="s">
        <v>23</v>
      </c>
      <c r="D587" s="4" t="s">
        <v>1</v>
      </c>
      <c r="E587">
        <v>442</v>
      </c>
      <c r="F587">
        <v>20</v>
      </c>
      <c r="G587">
        <v>8840</v>
      </c>
      <c r="H587">
        <v>7690.8</v>
      </c>
      <c r="I587">
        <v>3270.8</v>
      </c>
      <c r="J587" s="4" t="s">
        <v>21</v>
      </c>
      <c r="K587">
        <v>2018</v>
      </c>
    </row>
    <row r="588" spans="1:11" hidden="1" x14ac:dyDescent="0.3">
      <c r="A588" s="4" t="s">
        <v>6</v>
      </c>
      <c r="B588" s="4" t="s">
        <v>42</v>
      </c>
      <c r="C588" s="4" t="s">
        <v>8</v>
      </c>
      <c r="D588" s="4" t="s">
        <v>1</v>
      </c>
      <c r="E588">
        <v>982.5</v>
      </c>
      <c r="F588">
        <v>350</v>
      </c>
      <c r="G588">
        <v>343875</v>
      </c>
      <c r="H588">
        <v>299171.25</v>
      </c>
      <c r="I588">
        <v>43721.25</v>
      </c>
      <c r="J588" s="4" t="s">
        <v>24</v>
      </c>
      <c r="K588">
        <v>2019</v>
      </c>
    </row>
    <row r="589" spans="1:11" hidden="1" x14ac:dyDescent="0.3">
      <c r="A589" s="4" t="s">
        <v>6</v>
      </c>
      <c r="B589" s="4" t="s">
        <v>42</v>
      </c>
      <c r="C589" s="4" t="s">
        <v>8</v>
      </c>
      <c r="D589" s="4" t="s">
        <v>1</v>
      </c>
      <c r="E589">
        <v>1298</v>
      </c>
      <c r="F589">
        <v>7</v>
      </c>
      <c r="G589">
        <v>9086</v>
      </c>
      <c r="H589">
        <v>7904.82</v>
      </c>
      <c r="I589">
        <v>1414.82</v>
      </c>
      <c r="J589" s="4" t="s">
        <v>7</v>
      </c>
      <c r="K589">
        <v>2019</v>
      </c>
    </row>
    <row r="590" spans="1:11" hidden="1" x14ac:dyDescent="0.3">
      <c r="A590" s="4" t="s">
        <v>3</v>
      </c>
      <c r="B590" s="4" t="s">
        <v>9</v>
      </c>
      <c r="C590" s="4" t="s">
        <v>8</v>
      </c>
      <c r="D590" s="4" t="s">
        <v>1</v>
      </c>
      <c r="E590">
        <v>604</v>
      </c>
      <c r="F590">
        <v>12</v>
      </c>
      <c r="G590">
        <v>7248</v>
      </c>
      <c r="H590">
        <v>6305.76</v>
      </c>
      <c r="I590">
        <v>4493.76</v>
      </c>
      <c r="J590" s="4" t="s">
        <v>25</v>
      </c>
      <c r="K590">
        <v>2019</v>
      </c>
    </row>
    <row r="591" spans="1:11" hidden="1" x14ac:dyDescent="0.3">
      <c r="A591" s="4" t="s">
        <v>6</v>
      </c>
      <c r="B591" s="4" t="s">
        <v>9</v>
      </c>
      <c r="C591" s="4" t="s">
        <v>8</v>
      </c>
      <c r="D591" s="4" t="s">
        <v>1</v>
      </c>
      <c r="E591">
        <v>2255</v>
      </c>
      <c r="F591">
        <v>20</v>
      </c>
      <c r="G591">
        <v>45100</v>
      </c>
      <c r="H591">
        <v>39237</v>
      </c>
      <c r="I591">
        <v>16687</v>
      </c>
      <c r="J591" s="4" t="s">
        <v>19</v>
      </c>
      <c r="K591">
        <v>2019</v>
      </c>
    </row>
    <row r="592" spans="1:11" x14ac:dyDescent="0.3">
      <c r="A592" s="4" t="s">
        <v>6</v>
      </c>
      <c r="B592" s="4" t="s">
        <v>40</v>
      </c>
      <c r="C592" s="4" t="s">
        <v>8</v>
      </c>
      <c r="D592" s="4" t="s">
        <v>1</v>
      </c>
      <c r="E592">
        <v>1249</v>
      </c>
      <c r="F592">
        <v>20</v>
      </c>
      <c r="G592">
        <v>24980</v>
      </c>
      <c r="H592">
        <v>21732.6</v>
      </c>
      <c r="I592">
        <v>9242.6</v>
      </c>
      <c r="J592" s="4" t="s">
        <v>10</v>
      </c>
      <c r="K592">
        <v>2019</v>
      </c>
    </row>
    <row r="593" spans="1:11" hidden="1" x14ac:dyDescent="0.3">
      <c r="A593" s="4" t="s">
        <v>6</v>
      </c>
      <c r="B593" s="4" t="s">
        <v>42</v>
      </c>
      <c r="C593" s="4" t="s">
        <v>5</v>
      </c>
      <c r="D593" s="4" t="s">
        <v>1</v>
      </c>
      <c r="E593">
        <v>1438.5</v>
      </c>
      <c r="F593">
        <v>7</v>
      </c>
      <c r="G593">
        <v>10069.5</v>
      </c>
      <c r="H593">
        <v>8760.4650000000001</v>
      </c>
      <c r="I593">
        <v>1567.9649999999999</v>
      </c>
      <c r="J593" s="4" t="s">
        <v>24</v>
      </c>
      <c r="K593">
        <v>2019</v>
      </c>
    </row>
    <row r="594" spans="1:11" hidden="1" x14ac:dyDescent="0.3">
      <c r="A594" s="4" t="s">
        <v>12</v>
      </c>
      <c r="B594" s="4" t="s">
        <v>41</v>
      </c>
      <c r="C594" s="4" t="s">
        <v>5</v>
      </c>
      <c r="D594" s="4" t="s">
        <v>1</v>
      </c>
      <c r="E594">
        <v>807</v>
      </c>
      <c r="F594">
        <v>300</v>
      </c>
      <c r="G594">
        <v>242100</v>
      </c>
      <c r="H594">
        <v>210627</v>
      </c>
      <c r="I594">
        <v>8877</v>
      </c>
      <c r="J594" s="4" t="s">
        <v>24</v>
      </c>
      <c r="K594">
        <v>2019</v>
      </c>
    </row>
    <row r="595" spans="1:11" hidden="1" x14ac:dyDescent="0.3">
      <c r="A595" s="4" t="s">
        <v>6</v>
      </c>
      <c r="B595" s="4" t="s">
        <v>42</v>
      </c>
      <c r="C595" s="4" t="s">
        <v>5</v>
      </c>
      <c r="D595" s="4" t="s">
        <v>1</v>
      </c>
      <c r="E595">
        <v>2641</v>
      </c>
      <c r="F595">
        <v>20</v>
      </c>
      <c r="G595">
        <v>52820</v>
      </c>
      <c r="H595">
        <v>45953.4</v>
      </c>
      <c r="I595">
        <v>19543.400000000001</v>
      </c>
      <c r="J595" s="4" t="s">
        <v>7</v>
      </c>
      <c r="K595">
        <v>2019</v>
      </c>
    </row>
    <row r="596" spans="1:11" hidden="1" x14ac:dyDescent="0.3">
      <c r="A596" s="4" t="s">
        <v>6</v>
      </c>
      <c r="B596" s="4" t="s">
        <v>41</v>
      </c>
      <c r="C596" s="4" t="s">
        <v>5</v>
      </c>
      <c r="D596" s="4" t="s">
        <v>1</v>
      </c>
      <c r="E596">
        <v>2708</v>
      </c>
      <c r="F596">
        <v>20</v>
      </c>
      <c r="G596">
        <v>54160</v>
      </c>
      <c r="H596">
        <v>47119.199999999997</v>
      </c>
      <c r="I596">
        <v>20039.2</v>
      </c>
      <c r="J596" s="4" t="s">
        <v>7</v>
      </c>
      <c r="K596">
        <v>2019</v>
      </c>
    </row>
    <row r="597" spans="1:11" hidden="1" x14ac:dyDescent="0.3">
      <c r="A597" s="4" t="s">
        <v>6</v>
      </c>
      <c r="B597" s="4" t="s">
        <v>40</v>
      </c>
      <c r="C597" s="4" t="s">
        <v>5</v>
      </c>
      <c r="D597" s="4" t="s">
        <v>1</v>
      </c>
      <c r="E597">
        <v>2632</v>
      </c>
      <c r="F597">
        <v>350</v>
      </c>
      <c r="G597">
        <v>921200</v>
      </c>
      <c r="H597">
        <v>801444</v>
      </c>
      <c r="I597">
        <v>117124</v>
      </c>
      <c r="J597" s="4" t="s">
        <v>25</v>
      </c>
      <c r="K597">
        <v>2019</v>
      </c>
    </row>
    <row r="598" spans="1:11" hidden="1" x14ac:dyDescent="0.3">
      <c r="A598" s="4" t="s">
        <v>17</v>
      </c>
      <c r="B598" s="4" t="s">
        <v>40</v>
      </c>
      <c r="C598" s="4" t="s">
        <v>5</v>
      </c>
      <c r="D598" s="4" t="s">
        <v>1</v>
      </c>
      <c r="E598">
        <v>1583</v>
      </c>
      <c r="F598">
        <v>125</v>
      </c>
      <c r="G598">
        <v>197875</v>
      </c>
      <c r="H598">
        <v>172151.25</v>
      </c>
      <c r="I598">
        <v>-17808.75</v>
      </c>
      <c r="J598" s="4" t="s">
        <v>25</v>
      </c>
      <c r="K598">
        <v>2019</v>
      </c>
    </row>
    <row r="599" spans="1:11" hidden="1" x14ac:dyDescent="0.3">
      <c r="A599" s="4" t="s">
        <v>3</v>
      </c>
      <c r="B599" s="4" t="s">
        <v>9</v>
      </c>
      <c r="C599" s="4" t="s">
        <v>5</v>
      </c>
      <c r="D599" s="4" t="s">
        <v>1</v>
      </c>
      <c r="E599">
        <v>571</v>
      </c>
      <c r="F599">
        <v>12</v>
      </c>
      <c r="G599">
        <v>6852</v>
      </c>
      <c r="H599">
        <v>5961.24</v>
      </c>
      <c r="I599">
        <v>4248.24</v>
      </c>
      <c r="J599" s="4" t="s">
        <v>19</v>
      </c>
      <c r="K599">
        <v>2019</v>
      </c>
    </row>
    <row r="600" spans="1:11" hidden="1" x14ac:dyDescent="0.3">
      <c r="A600" s="4" t="s">
        <v>6</v>
      </c>
      <c r="B600" s="4" t="s">
        <v>14</v>
      </c>
      <c r="C600" s="4" t="s">
        <v>5</v>
      </c>
      <c r="D600" s="4" t="s">
        <v>1</v>
      </c>
      <c r="E600">
        <v>2696</v>
      </c>
      <c r="F600">
        <v>7</v>
      </c>
      <c r="G600">
        <v>18872</v>
      </c>
      <c r="H600">
        <v>16418.64</v>
      </c>
      <c r="I600">
        <v>2938.64</v>
      </c>
      <c r="J600" s="4" t="s">
        <v>22</v>
      </c>
      <c r="K600">
        <v>2019</v>
      </c>
    </row>
    <row r="601" spans="1:11" hidden="1" x14ac:dyDescent="0.3">
      <c r="A601" s="4" t="s">
        <v>18</v>
      </c>
      <c r="B601" s="4" t="s">
        <v>40</v>
      </c>
      <c r="C601" s="4" t="s">
        <v>5</v>
      </c>
      <c r="D601" s="4" t="s">
        <v>1</v>
      </c>
      <c r="E601">
        <v>1565</v>
      </c>
      <c r="F601">
        <v>15</v>
      </c>
      <c r="G601">
        <v>23475</v>
      </c>
      <c r="H601">
        <v>20423.25</v>
      </c>
      <c r="I601">
        <v>4773.25</v>
      </c>
      <c r="J601" s="4" t="s">
        <v>10</v>
      </c>
      <c r="K601">
        <v>2019</v>
      </c>
    </row>
    <row r="602" spans="1:11" hidden="1" x14ac:dyDescent="0.3">
      <c r="A602" s="4" t="s">
        <v>6</v>
      </c>
      <c r="B602" s="4" t="s">
        <v>40</v>
      </c>
      <c r="C602" s="4" t="s">
        <v>5</v>
      </c>
      <c r="D602" s="4" t="s">
        <v>1</v>
      </c>
      <c r="E602">
        <v>1249</v>
      </c>
      <c r="F602">
        <v>20</v>
      </c>
      <c r="G602">
        <v>24980</v>
      </c>
      <c r="H602">
        <v>21732.6</v>
      </c>
      <c r="I602">
        <v>9242.6</v>
      </c>
      <c r="J602" s="4" t="s">
        <v>10</v>
      </c>
      <c r="K602">
        <v>2019</v>
      </c>
    </row>
    <row r="603" spans="1:11" hidden="1" x14ac:dyDescent="0.3">
      <c r="A603" s="4" t="s">
        <v>6</v>
      </c>
      <c r="B603" s="4" t="s">
        <v>41</v>
      </c>
      <c r="C603" s="4" t="s">
        <v>5</v>
      </c>
      <c r="D603" s="4" t="s">
        <v>1</v>
      </c>
      <c r="E603">
        <v>357</v>
      </c>
      <c r="F603">
        <v>350</v>
      </c>
      <c r="G603">
        <v>124950</v>
      </c>
      <c r="H603">
        <v>108706.5</v>
      </c>
      <c r="I603">
        <v>15886.5</v>
      </c>
      <c r="J603" s="4" t="s">
        <v>16</v>
      </c>
      <c r="K603">
        <v>2019</v>
      </c>
    </row>
    <row r="604" spans="1:11" hidden="1" x14ac:dyDescent="0.3">
      <c r="A604" s="4" t="s">
        <v>3</v>
      </c>
      <c r="B604" s="4" t="s">
        <v>41</v>
      </c>
      <c r="C604" s="4" t="s">
        <v>5</v>
      </c>
      <c r="D604" s="4" t="s">
        <v>1</v>
      </c>
      <c r="E604">
        <v>1013</v>
      </c>
      <c r="F604">
        <v>12</v>
      </c>
      <c r="G604">
        <v>12156</v>
      </c>
      <c r="H604">
        <v>10575.72</v>
      </c>
      <c r="I604">
        <v>7536.72</v>
      </c>
      <c r="J604" s="4" t="s">
        <v>15</v>
      </c>
      <c r="K604">
        <v>2019</v>
      </c>
    </row>
    <row r="605" spans="1:11" hidden="1" x14ac:dyDescent="0.3">
      <c r="A605" s="4" t="s">
        <v>18</v>
      </c>
      <c r="B605" s="4" t="s">
        <v>14</v>
      </c>
      <c r="C605" s="4" t="s">
        <v>20</v>
      </c>
      <c r="D605" s="4" t="s">
        <v>1</v>
      </c>
      <c r="E605">
        <v>3997.5</v>
      </c>
      <c r="F605">
        <v>15</v>
      </c>
      <c r="G605">
        <v>59962.5</v>
      </c>
      <c r="H605">
        <v>52167.375</v>
      </c>
      <c r="I605">
        <v>12192.375</v>
      </c>
      <c r="J605" s="4" t="s">
        <v>24</v>
      </c>
      <c r="K605">
        <v>2019</v>
      </c>
    </row>
    <row r="606" spans="1:11" hidden="1" x14ac:dyDescent="0.3">
      <c r="A606" s="4" t="s">
        <v>6</v>
      </c>
      <c r="B606" s="4" t="s">
        <v>40</v>
      </c>
      <c r="C606" s="4" t="s">
        <v>20</v>
      </c>
      <c r="D606" s="4" t="s">
        <v>1</v>
      </c>
      <c r="E606">
        <v>2632</v>
      </c>
      <c r="F606">
        <v>350</v>
      </c>
      <c r="G606">
        <v>921200</v>
      </c>
      <c r="H606">
        <v>801444</v>
      </c>
      <c r="I606">
        <v>117124</v>
      </c>
      <c r="J606" s="4" t="s">
        <v>25</v>
      </c>
      <c r="K606">
        <v>2019</v>
      </c>
    </row>
    <row r="607" spans="1:11" hidden="1" x14ac:dyDescent="0.3">
      <c r="A607" s="4" t="s">
        <v>6</v>
      </c>
      <c r="B607" s="4" t="s">
        <v>14</v>
      </c>
      <c r="C607" s="4" t="s">
        <v>20</v>
      </c>
      <c r="D607" s="4" t="s">
        <v>1</v>
      </c>
      <c r="E607">
        <v>1190</v>
      </c>
      <c r="F607">
        <v>7</v>
      </c>
      <c r="G607">
        <v>8330</v>
      </c>
      <c r="H607">
        <v>7247.1</v>
      </c>
      <c r="I607">
        <v>1297.0999999999999</v>
      </c>
      <c r="J607" s="4" t="s">
        <v>25</v>
      </c>
      <c r="K607">
        <v>2019</v>
      </c>
    </row>
    <row r="608" spans="1:11" hidden="1" x14ac:dyDescent="0.3">
      <c r="A608" s="4" t="s">
        <v>3</v>
      </c>
      <c r="B608" s="4" t="s">
        <v>9</v>
      </c>
      <c r="C608" s="4" t="s">
        <v>20</v>
      </c>
      <c r="D608" s="4" t="s">
        <v>1</v>
      </c>
      <c r="E608">
        <v>604</v>
      </c>
      <c r="F608">
        <v>12</v>
      </c>
      <c r="G608">
        <v>7248</v>
      </c>
      <c r="H608">
        <v>6305.76</v>
      </c>
      <c r="I608">
        <v>4493.76</v>
      </c>
      <c r="J608" s="4" t="s">
        <v>25</v>
      </c>
      <c r="K608">
        <v>2019</v>
      </c>
    </row>
    <row r="609" spans="1:11" hidden="1" x14ac:dyDescent="0.3">
      <c r="A609" s="4" t="s">
        <v>18</v>
      </c>
      <c r="B609" s="4" t="s">
        <v>41</v>
      </c>
      <c r="C609" s="4" t="s">
        <v>20</v>
      </c>
      <c r="D609" s="4" t="s">
        <v>1</v>
      </c>
      <c r="E609">
        <v>660</v>
      </c>
      <c r="F609">
        <v>15</v>
      </c>
      <c r="G609">
        <v>9900</v>
      </c>
      <c r="H609">
        <v>8613</v>
      </c>
      <c r="I609">
        <v>2013</v>
      </c>
      <c r="J609" s="4" t="s">
        <v>21</v>
      </c>
      <c r="K609">
        <v>2018</v>
      </c>
    </row>
    <row r="610" spans="1:11" hidden="1" x14ac:dyDescent="0.3">
      <c r="A610" s="4" t="s">
        <v>3</v>
      </c>
      <c r="B610" s="4" t="s">
        <v>9</v>
      </c>
      <c r="C610" s="4" t="s">
        <v>20</v>
      </c>
      <c r="D610" s="4" t="s">
        <v>1</v>
      </c>
      <c r="E610">
        <v>410</v>
      </c>
      <c r="F610">
        <v>12</v>
      </c>
      <c r="G610">
        <v>4920</v>
      </c>
      <c r="H610">
        <v>4280.3999999999996</v>
      </c>
      <c r="I610">
        <v>3050.4</v>
      </c>
      <c r="J610" s="4" t="s">
        <v>10</v>
      </c>
      <c r="K610">
        <v>2019</v>
      </c>
    </row>
    <row r="611" spans="1:11" hidden="1" x14ac:dyDescent="0.3">
      <c r="A611" s="4" t="s">
        <v>12</v>
      </c>
      <c r="B611" s="4" t="s">
        <v>9</v>
      </c>
      <c r="C611" s="4" t="s">
        <v>20</v>
      </c>
      <c r="D611" s="4" t="s">
        <v>1</v>
      </c>
      <c r="E611">
        <v>2605</v>
      </c>
      <c r="F611">
        <v>300</v>
      </c>
      <c r="G611">
        <v>781500</v>
      </c>
      <c r="H611">
        <v>679905</v>
      </c>
      <c r="I611">
        <v>28655</v>
      </c>
      <c r="J611" s="4" t="s">
        <v>16</v>
      </c>
      <c r="K611">
        <v>2018</v>
      </c>
    </row>
    <row r="612" spans="1:11" hidden="1" x14ac:dyDescent="0.3">
      <c r="A612" s="4" t="s">
        <v>3</v>
      </c>
      <c r="B612" s="4" t="s">
        <v>41</v>
      </c>
      <c r="C612" s="4" t="s">
        <v>20</v>
      </c>
      <c r="D612" s="4" t="s">
        <v>1</v>
      </c>
      <c r="E612">
        <v>1013</v>
      </c>
      <c r="F612">
        <v>12</v>
      </c>
      <c r="G612">
        <v>12156</v>
      </c>
      <c r="H612">
        <v>10575.72</v>
      </c>
      <c r="I612">
        <v>7536.72</v>
      </c>
      <c r="J612" s="4" t="s">
        <v>15</v>
      </c>
      <c r="K612">
        <v>2019</v>
      </c>
    </row>
    <row r="613" spans="1:11" hidden="1" x14ac:dyDescent="0.3">
      <c r="A613" s="4" t="s">
        <v>17</v>
      </c>
      <c r="B613" s="4" t="s">
        <v>40</v>
      </c>
      <c r="C613" s="4" t="s">
        <v>2</v>
      </c>
      <c r="D613" s="4" t="s">
        <v>1</v>
      </c>
      <c r="E613">
        <v>1583</v>
      </c>
      <c r="F613">
        <v>125</v>
      </c>
      <c r="G613">
        <v>197875</v>
      </c>
      <c r="H613">
        <v>172151.25</v>
      </c>
      <c r="I613">
        <v>-17808.75</v>
      </c>
      <c r="J613" s="4" t="s">
        <v>25</v>
      </c>
      <c r="K613">
        <v>2019</v>
      </c>
    </row>
    <row r="614" spans="1:11" hidden="1" x14ac:dyDescent="0.3">
      <c r="A614" s="4" t="s">
        <v>18</v>
      </c>
      <c r="B614" s="4" t="s">
        <v>40</v>
      </c>
      <c r="C614" s="4" t="s">
        <v>2</v>
      </c>
      <c r="D614" s="4" t="s">
        <v>1</v>
      </c>
      <c r="E614">
        <v>1565</v>
      </c>
      <c r="F614">
        <v>15</v>
      </c>
      <c r="G614">
        <v>23475</v>
      </c>
      <c r="H614">
        <v>20423.25</v>
      </c>
      <c r="I614">
        <v>4773.25</v>
      </c>
      <c r="J614" s="4" t="s">
        <v>10</v>
      </c>
      <c r="K614">
        <v>2019</v>
      </c>
    </row>
    <row r="615" spans="1:11" hidden="1" x14ac:dyDescent="0.3">
      <c r="A615" s="4" t="s">
        <v>17</v>
      </c>
      <c r="B615" s="4" t="s">
        <v>40</v>
      </c>
      <c r="C615" s="4" t="s">
        <v>11</v>
      </c>
      <c r="D615" s="4" t="s">
        <v>1</v>
      </c>
      <c r="E615">
        <v>1659</v>
      </c>
      <c r="F615">
        <v>125</v>
      </c>
      <c r="G615">
        <v>207375</v>
      </c>
      <c r="H615">
        <v>180416.25</v>
      </c>
      <c r="I615">
        <v>-18663.75</v>
      </c>
      <c r="J615" s="4" t="s">
        <v>24</v>
      </c>
      <c r="K615">
        <v>2019</v>
      </c>
    </row>
    <row r="616" spans="1:11" hidden="1" x14ac:dyDescent="0.3">
      <c r="A616" s="4" t="s">
        <v>6</v>
      </c>
      <c r="B616" s="4" t="s">
        <v>14</v>
      </c>
      <c r="C616" s="4" t="s">
        <v>11</v>
      </c>
      <c r="D616" s="4" t="s">
        <v>1</v>
      </c>
      <c r="E616">
        <v>1190</v>
      </c>
      <c r="F616">
        <v>7</v>
      </c>
      <c r="G616">
        <v>8330</v>
      </c>
      <c r="H616">
        <v>7247.1</v>
      </c>
      <c r="I616">
        <v>1297.0999999999999</v>
      </c>
      <c r="J616" s="4" t="s">
        <v>25</v>
      </c>
      <c r="K616">
        <v>2019</v>
      </c>
    </row>
    <row r="617" spans="1:11" hidden="1" x14ac:dyDescent="0.3">
      <c r="A617" s="4" t="s">
        <v>3</v>
      </c>
      <c r="B617" s="4" t="s">
        <v>9</v>
      </c>
      <c r="C617" s="4" t="s">
        <v>11</v>
      </c>
      <c r="D617" s="4" t="s">
        <v>1</v>
      </c>
      <c r="E617">
        <v>410</v>
      </c>
      <c r="F617">
        <v>12</v>
      </c>
      <c r="G617">
        <v>4920</v>
      </c>
      <c r="H617">
        <v>4280.3999999999996</v>
      </c>
      <c r="I617">
        <v>3050.4</v>
      </c>
      <c r="J617" s="4" t="s">
        <v>10</v>
      </c>
      <c r="K617">
        <v>2019</v>
      </c>
    </row>
    <row r="618" spans="1:11" hidden="1" x14ac:dyDescent="0.3">
      <c r="A618" s="4" t="s">
        <v>3</v>
      </c>
      <c r="B618" s="4" t="s">
        <v>41</v>
      </c>
      <c r="C618" s="4" t="s">
        <v>11</v>
      </c>
      <c r="D618" s="4" t="s">
        <v>1</v>
      </c>
      <c r="E618">
        <v>1770</v>
      </c>
      <c r="F618">
        <v>12</v>
      </c>
      <c r="G618">
        <v>21240</v>
      </c>
      <c r="H618">
        <v>18478.8</v>
      </c>
      <c r="I618">
        <v>13168.8</v>
      </c>
      <c r="J618" s="4" t="s">
        <v>15</v>
      </c>
      <c r="K618">
        <v>2018</v>
      </c>
    </row>
    <row r="619" spans="1:11" hidden="1" x14ac:dyDescent="0.3">
      <c r="A619" s="4" t="s">
        <v>6</v>
      </c>
      <c r="B619" s="4" t="s">
        <v>9</v>
      </c>
      <c r="C619" s="4" t="s">
        <v>23</v>
      </c>
      <c r="D619" s="4" t="s">
        <v>1</v>
      </c>
      <c r="E619">
        <v>2579</v>
      </c>
      <c r="F619">
        <v>20</v>
      </c>
      <c r="G619">
        <v>51580</v>
      </c>
      <c r="H619">
        <v>44358.8</v>
      </c>
      <c r="I619">
        <v>18568.8</v>
      </c>
      <c r="J619" s="4" t="s">
        <v>4</v>
      </c>
      <c r="K619">
        <v>2019</v>
      </c>
    </row>
    <row r="620" spans="1:11" hidden="1" x14ac:dyDescent="0.3">
      <c r="A620" s="4" t="s">
        <v>6</v>
      </c>
      <c r="B620" s="4" t="s">
        <v>42</v>
      </c>
      <c r="C620" s="4" t="s">
        <v>23</v>
      </c>
      <c r="D620" s="4" t="s">
        <v>1</v>
      </c>
      <c r="E620">
        <v>1743</v>
      </c>
      <c r="F620">
        <v>20</v>
      </c>
      <c r="G620">
        <v>34860</v>
      </c>
      <c r="H620">
        <v>29979.599999999999</v>
      </c>
      <c r="I620">
        <v>12549.6</v>
      </c>
      <c r="J620" s="4" t="s">
        <v>0</v>
      </c>
      <c r="K620">
        <v>2019</v>
      </c>
    </row>
    <row r="621" spans="1:11" hidden="1" x14ac:dyDescent="0.3">
      <c r="A621" s="4" t="s">
        <v>6</v>
      </c>
      <c r="B621" s="4" t="s">
        <v>42</v>
      </c>
      <c r="C621" s="4" t="s">
        <v>23</v>
      </c>
      <c r="D621" s="4" t="s">
        <v>1</v>
      </c>
      <c r="E621">
        <v>2996</v>
      </c>
      <c r="F621">
        <v>7</v>
      </c>
      <c r="G621">
        <v>20972</v>
      </c>
      <c r="H621">
        <v>18035.919999999998</v>
      </c>
      <c r="I621">
        <v>3055.92</v>
      </c>
      <c r="J621" s="4" t="s">
        <v>10</v>
      </c>
      <c r="K621">
        <v>2018</v>
      </c>
    </row>
    <row r="622" spans="1:11" x14ac:dyDescent="0.3">
      <c r="A622" s="4" t="s">
        <v>6</v>
      </c>
      <c r="B622" s="4" t="s">
        <v>41</v>
      </c>
      <c r="C622" s="4" t="s">
        <v>23</v>
      </c>
      <c r="D622" s="4" t="s">
        <v>1</v>
      </c>
      <c r="E622">
        <v>280</v>
      </c>
      <c r="F622">
        <v>7</v>
      </c>
      <c r="G622">
        <v>1960</v>
      </c>
      <c r="H622">
        <v>1685.6</v>
      </c>
      <c r="I622">
        <v>285.60000000000002</v>
      </c>
      <c r="J622" s="4" t="s">
        <v>15</v>
      </c>
      <c r="K622">
        <v>2019</v>
      </c>
    </row>
    <row r="623" spans="1:11" x14ac:dyDescent="0.3">
      <c r="A623" s="4" t="s">
        <v>6</v>
      </c>
      <c r="B623" s="4" t="s">
        <v>14</v>
      </c>
      <c r="C623" s="4" t="s">
        <v>8</v>
      </c>
      <c r="D623" s="4" t="s">
        <v>1</v>
      </c>
      <c r="E623">
        <v>293</v>
      </c>
      <c r="F623">
        <v>7</v>
      </c>
      <c r="G623">
        <v>2051</v>
      </c>
      <c r="H623">
        <v>1763.86</v>
      </c>
      <c r="I623">
        <v>298.86</v>
      </c>
      <c r="J623" s="4" t="s">
        <v>7</v>
      </c>
      <c r="K623">
        <v>2019</v>
      </c>
    </row>
    <row r="624" spans="1:11" hidden="1" x14ac:dyDescent="0.3">
      <c r="A624" s="4" t="s">
        <v>6</v>
      </c>
      <c r="B624" s="4" t="s">
        <v>42</v>
      </c>
      <c r="C624" s="4" t="s">
        <v>8</v>
      </c>
      <c r="D624" s="4" t="s">
        <v>1</v>
      </c>
      <c r="E624">
        <v>2996</v>
      </c>
      <c r="F624">
        <v>7</v>
      </c>
      <c r="G624">
        <v>20972</v>
      </c>
      <c r="H624">
        <v>18035.919999999998</v>
      </c>
      <c r="I624">
        <v>3055.92</v>
      </c>
      <c r="J624" s="4" t="s">
        <v>10</v>
      </c>
      <c r="K624">
        <v>2018</v>
      </c>
    </row>
    <row r="625" spans="1:11" hidden="1" x14ac:dyDescent="0.3">
      <c r="A625" s="4" t="s">
        <v>18</v>
      </c>
      <c r="B625" s="4" t="s">
        <v>41</v>
      </c>
      <c r="C625" s="4" t="s">
        <v>5</v>
      </c>
      <c r="D625" s="4" t="s">
        <v>1</v>
      </c>
      <c r="E625">
        <v>278</v>
      </c>
      <c r="F625">
        <v>15</v>
      </c>
      <c r="G625">
        <v>4170</v>
      </c>
      <c r="H625">
        <v>3586.2</v>
      </c>
      <c r="I625">
        <v>806.2</v>
      </c>
      <c r="J625" s="4" t="s">
        <v>7</v>
      </c>
      <c r="K625">
        <v>2019</v>
      </c>
    </row>
    <row r="626" spans="1:11" hidden="1" x14ac:dyDescent="0.3">
      <c r="A626" s="4" t="s">
        <v>6</v>
      </c>
      <c r="B626" s="4" t="s">
        <v>40</v>
      </c>
      <c r="C626" s="4" t="s">
        <v>5</v>
      </c>
      <c r="D626" s="4" t="s">
        <v>1</v>
      </c>
      <c r="E626">
        <v>2428</v>
      </c>
      <c r="F626">
        <v>20</v>
      </c>
      <c r="G626">
        <v>48560</v>
      </c>
      <c r="H626">
        <v>41761.599999999999</v>
      </c>
      <c r="I626">
        <v>17481.599999999999</v>
      </c>
      <c r="J626" s="4" t="s">
        <v>13</v>
      </c>
      <c r="K626">
        <v>2019</v>
      </c>
    </row>
    <row r="627" spans="1:11" hidden="1" x14ac:dyDescent="0.3">
      <c r="A627" s="4" t="s">
        <v>18</v>
      </c>
      <c r="B627" s="4" t="s">
        <v>42</v>
      </c>
      <c r="C627" s="4" t="s">
        <v>5</v>
      </c>
      <c r="D627" s="4" t="s">
        <v>1</v>
      </c>
      <c r="E627">
        <v>1767</v>
      </c>
      <c r="F627">
        <v>15</v>
      </c>
      <c r="G627">
        <v>26505</v>
      </c>
      <c r="H627">
        <v>22794.3</v>
      </c>
      <c r="I627">
        <v>5124.3</v>
      </c>
      <c r="J627" s="4" t="s">
        <v>21</v>
      </c>
      <c r="K627">
        <v>2019</v>
      </c>
    </row>
    <row r="628" spans="1:11" hidden="1" x14ac:dyDescent="0.3">
      <c r="A628" s="4" t="s">
        <v>3</v>
      </c>
      <c r="B628" s="4" t="s">
        <v>14</v>
      </c>
      <c r="C628" s="4" t="s">
        <v>5</v>
      </c>
      <c r="D628" s="4" t="s">
        <v>1</v>
      </c>
      <c r="E628">
        <v>1393</v>
      </c>
      <c r="F628">
        <v>12</v>
      </c>
      <c r="G628">
        <v>16716</v>
      </c>
      <c r="H628">
        <v>14375.76</v>
      </c>
      <c r="I628">
        <v>10196.76</v>
      </c>
      <c r="J628" s="4" t="s">
        <v>10</v>
      </c>
      <c r="K628">
        <v>2019</v>
      </c>
    </row>
    <row r="629" spans="1:11" hidden="1" x14ac:dyDescent="0.3">
      <c r="A629" s="4" t="s">
        <v>6</v>
      </c>
      <c r="B629" s="4" t="s">
        <v>41</v>
      </c>
      <c r="C629" s="4" t="s">
        <v>2</v>
      </c>
      <c r="D629" s="4" t="s">
        <v>1</v>
      </c>
      <c r="E629">
        <v>280</v>
      </c>
      <c r="F629">
        <v>7</v>
      </c>
      <c r="G629">
        <v>1960</v>
      </c>
      <c r="H629">
        <v>1685.6</v>
      </c>
      <c r="I629">
        <v>285.60000000000002</v>
      </c>
      <c r="J629" s="4" t="s">
        <v>15</v>
      </c>
      <c r="K629">
        <v>2019</v>
      </c>
    </row>
    <row r="630" spans="1:11" hidden="1" x14ac:dyDescent="0.3">
      <c r="A630" s="4" t="s">
        <v>3</v>
      </c>
      <c r="B630" s="4" t="s">
        <v>14</v>
      </c>
      <c r="C630" s="4" t="s">
        <v>11</v>
      </c>
      <c r="D630" s="4" t="s">
        <v>1</v>
      </c>
      <c r="E630">
        <v>1393</v>
      </c>
      <c r="F630">
        <v>12</v>
      </c>
      <c r="G630">
        <v>16716</v>
      </c>
      <c r="H630">
        <v>14375.76</v>
      </c>
      <c r="I630">
        <v>10196.76</v>
      </c>
      <c r="J630" s="4" t="s">
        <v>10</v>
      </c>
      <c r="K630">
        <v>2019</v>
      </c>
    </row>
    <row r="631" spans="1:11" hidden="1" x14ac:dyDescent="0.3">
      <c r="A631" s="4" t="s">
        <v>3</v>
      </c>
      <c r="B631" s="4" t="s">
        <v>42</v>
      </c>
      <c r="C631" s="4" t="s">
        <v>11</v>
      </c>
      <c r="D631" s="4" t="s">
        <v>1</v>
      </c>
      <c r="E631">
        <v>2015</v>
      </c>
      <c r="F631">
        <v>12</v>
      </c>
      <c r="G631">
        <v>24180</v>
      </c>
      <c r="H631">
        <v>20794.8</v>
      </c>
      <c r="I631">
        <v>14749.8</v>
      </c>
      <c r="J631" s="4" t="s">
        <v>15</v>
      </c>
      <c r="K631">
        <v>2018</v>
      </c>
    </row>
    <row r="632" spans="1:11" hidden="1" x14ac:dyDescent="0.3">
      <c r="A632" s="4" t="s">
        <v>12</v>
      </c>
      <c r="B632" s="4" t="s">
        <v>9</v>
      </c>
      <c r="C632" s="4" t="s">
        <v>23</v>
      </c>
      <c r="D632" s="4" t="s">
        <v>1</v>
      </c>
      <c r="E632">
        <v>801</v>
      </c>
      <c r="F632">
        <v>300</v>
      </c>
      <c r="G632">
        <v>240300</v>
      </c>
      <c r="H632">
        <v>206658</v>
      </c>
      <c r="I632">
        <v>6408</v>
      </c>
      <c r="J632" s="4" t="s">
        <v>19</v>
      </c>
      <c r="K632">
        <v>2019</v>
      </c>
    </row>
    <row r="633" spans="1:11" x14ac:dyDescent="0.3">
      <c r="A633" s="4" t="s">
        <v>17</v>
      </c>
      <c r="B633" s="4" t="s">
        <v>14</v>
      </c>
      <c r="C633" s="4" t="s">
        <v>23</v>
      </c>
      <c r="D633" s="4" t="s">
        <v>1</v>
      </c>
      <c r="E633">
        <v>1023</v>
      </c>
      <c r="F633">
        <v>125</v>
      </c>
      <c r="G633">
        <v>127875</v>
      </c>
      <c r="H633">
        <v>109972.5</v>
      </c>
      <c r="I633">
        <v>-12787.5</v>
      </c>
      <c r="J633" s="4" t="s">
        <v>21</v>
      </c>
      <c r="K633">
        <v>2018</v>
      </c>
    </row>
    <row r="634" spans="1:11" x14ac:dyDescent="0.3">
      <c r="A634" s="4" t="s">
        <v>12</v>
      </c>
      <c r="B634" s="4" t="s">
        <v>40</v>
      </c>
      <c r="C634" s="4" t="s">
        <v>23</v>
      </c>
      <c r="D634" s="4" t="s">
        <v>1</v>
      </c>
      <c r="E634">
        <v>1496</v>
      </c>
      <c r="F634">
        <v>300</v>
      </c>
      <c r="G634">
        <v>448800</v>
      </c>
      <c r="H634">
        <v>385968</v>
      </c>
      <c r="I634">
        <v>11968</v>
      </c>
      <c r="J634" s="4" t="s">
        <v>10</v>
      </c>
      <c r="K634">
        <v>2019</v>
      </c>
    </row>
    <row r="635" spans="1:11" hidden="1" x14ac:dyDescent="0.3">
      <c r="A635" s="4" t="s">
        <v>12</v>
      </c>
      <c r="B635" s="4" t="s">
        <v>42</v>
      </c>
      <c r="C635" s="4" t="s">
        <v>23</v>
      </c>
      <c r="D635" s="4" t="s">
        <v>1</v>
      </c>
      <c r="E635">
        <v>1010</v>
      </c>
      <c r="F635">
        <v>300</v>
      </c>
      <c r="G635">
        <v>303000</v>
      </c>
      <c r="H635">
        <v>260580</v>
      </c>
      <c r="I635">
        <v>8080</v>
      </c>
      <c r="J635" s="4" t="s">
        <v>10</v>
      </c>
      <c r="K635">
        <v>2019</v>
      </c>
    </row>
    <row r="636" spans="1:11" x14ac:dyDescent="0.3">
      <c r="A636" s="4" t="s">
        <v>18</v>
      </c>
      <c r="B636" s="4" t="s">
        <v>41</v>
      </c>
      <c r="C636" s="4" t="s">
        <v>23</v>
      </c>
      <c r="D636" s="4" t="s">
        <v>1</v>
      </c>
      <c r="E636">
        <v>1513</v>
      </c>
      <c r="F636">
        <v>15</v>
      </c>
      <c r="G636">
        <v>22695</v>
      </c>
      <c r="H636">
        <v>19517.7</v>
      </c>
      <c r="I636">
        <v>4387.7</v>
      </c>
      <c r="J636" s="4" t="s">
        <v>16</v>
      </c>
      <c r="K636">
        <v>2019</v>
      </c>
    </row>
    <row r="637" spans="1:11" x14ac:dyDescent="0.3">
      <c r="A637" s="4" t="s">
        <v>18</v>
      </c>
      <c r="B637" s="4" t="s">
        <v>40</v>
      </c>
      <c r="C637" s="4" t="s">
        <v>23</v>
      </c>
      <c r="D637" s="4" t="s">
        <v>1</v>
      </c>
      <c r="E637">
        <v>2300</v>
      </c>
      <c r="F637">
        <v>15</v>
      </c>
      <c r="G637">
        <v>34500</v>
      </c>
      <c r="H637">
        <v>29670</v>
      </c>
      <c r="I637">
        <v>6670</v>
      </c>
      <c r="J637" s="4" t="s">
        <v>15</v>
      </c>
      <c r="K637">
        <v>2019</v>
      </c>
    </row>
    <row r="638" spans="1:11" hidden="1" x14ac:dyDescent="0.3">
      <c r="A638" s="4" t="s">
        <v>17</v>
      </c>
      <c r="B638" s="4" t="s">
        <v>9</v>
      </c>
      <c r="C638" s="4" t="s">
        <v>23</v>
      </c>
      <c r="D638" s="4" t="s">
        <v>1</v>
      </c>
      <c r="E638">
        <v>2821</v>
      </c>
      <c r="F638">
        <v>125</v>
      </c>
      <c r="G638">
        <v>352625</v>
      </c>
      <c r="H638">
        <v>303257.5</v>
      </c>
      <c r="I638">
        <v>-35262.5</v>
      </c>
      <c r="J638" s="4" t="s">
        <v>15</v>
      </c>
      <c r="K638">
        <v>2018</v>
      </c>
    </row>
    <row r="639" spans="1:11" x14ac:dyDescent="0.3">
      <c r="A639" s="4" t="s">
        <v>6</v>
      </c>
      <c r="B639" s="4" t="s">
        <v>40</v>
      </c>
      <c r="C639" s="4" t="s">
        <v>8</v>
      </c>
      <c r="D639" s="4" t="s">
        <v>1</v>
      </c>
      <c r="E639">
        <v>2227.5</v>
      </c>
      <c r="F639">
        <v>350</v>
      </c>
      <c r="G639">
        <v>779625</v>
      </c>
      <c r="H639">
        <v>670477.5</v>
      </c>
      <c r="I639">
        <v>91327.5</v>
      </c>
      <c r="J639" s="4" t="s">
        <v>24</v>
      </c>
      <c r="K639">
        <v>2019</v>
      </c>
    </row>
    <row r="640" spans="1:11" x14ac:dyDescent="0.3">
      <c r="A640" s="4" t="s">
        <v>6</v>
      </c>
      <c r="B640" s="4" t="s">
        <v>41</v>
      </c>
      <c r="C640" s="4" t="s">
        <v>8</v>
      </c>
      <c r="D640" s="4" t="s">
        <v>1</v>
      </c>
      <c r="E640">
        <v>1199</v>
      </c>
      <c r="F640">
        <v>350</v>
      </c>
      <c r="G640">
        <v>419650</v>
      </c>
      <c r="H640">
        <v>360899</v>
      </c>
      <c r="I640">
        <v>49159</v>
      </c>
      <c r="J640" s="4" t="s">
        <v>4</v>
      </c>
      <c r="K640">
        <v>2019</v>
      </c>
    </row>
    <row r="641" spans="1:11" x14ac:dyDescent="0.3">
      <c r="A641" s="4" t="s">
        <v>6</v>
      </c>
      <c r="B641" s="4" t="s">
        <v>40</v>
      </c>
      <c r="C641" s="4" t="s">
        <v>8</v>
      </c>
      <c r="D641" s="4" t="s">
        <v>1</v>
      </c>
      <c r="E641">
        <v>200</v>
      </c>
      <c r="F641">
        <v>350</v>
      </c>
      <c r="G641">
        <v>70000</v>
      </c>
      <c r="H641">
        <v>60200</v>
      </c>
      <c r="I641">
        <v>8200</v>
      </c>
      <c r="J641" s="4" t="s">
        <v>0</v>
      </c>
      <c r="K641">
        <v>2019</v>
      </c>
    </row>
    <row r="642" spans="1:11" x14ac:dyDescent="0.3">
      <c r="A642" s="4" t="s">
        <v>6</v>
      </c>
      <c r="B642" s="4" t="s">
        <v>40</v>
      </c>
      <c r="C642" s="4" t="s">
        <v>8</v>
      </c>
      <c r="D642" s="4" t="s">
        <v>1</v>
      </c>
      <c r="E642">
        <v>388</v>
      </c>
      <c r="F642">
        <v>7</v>
      </c>
      <c r="G642">
        <v>2716</v>
      </c>
      <c r="H642">
        <v>2335.7600000000002</v>
      </c>
      <c r="I642">
        <v>395.76</v>
      </c>
      <c r="J642" s="4" t="s">
        <v>21</v>
      </c>
      <c r="K642">
        <v>2019</v>
      </c>
    </row>
    <row r="643" spans="1:11" hidden="1" x14ac:dyDescent="0.3">
      <c r="A643" s="4" t="s">
        <v>6</v>
      </c>
      <c r="B643" s="4" t="s">
        <v>9</v>
      </c>
      <c r="C643" s="4" t="s">
        <v>8</v>
      </c>
      <c r="D643" s="4" t="s">
        <v>1</v>
      </c>
      <c r="E643">
        <v>1727</v>
      </c>
      <c r="F643">
        <v>7</v>
      </c>
      <c r="G643">
        <v>12089</v>
      </c>
      <c r="H643">
        <v>10396.540000000001</v>
      </c>
      <c r="I643">
        <v>1761.54</v>
      </c>
      <c r="J643" s="4" t="s">
        <v>10</v>
      </c>
      <c r="K643">
        <v>2018</v>
      </c>
    </row>
    <row r="644" spans="1:11" x14ac:dyDescent="0.3">
      <c r="A644" s="4" t="s">
        <v>18</v>
      </c>
      <c r="B644" s="4" t="s">
        <v>40</v>
      </c>
      <c r="C644" s="4" t="s">
        <v>8</v>
      </c>
      <c r="D644" s="4" t="s">
        <v>1</v>
      </c>
      <c r="E644">
        <v>2300</v>
      </c>
      <c r="F644">
        <v>15</v>
      </c>
      <c r="G644">
        <v>34500</v>
      </c>
      <c r="H644">
        <v>29670</v>
      </c>
      <c r="I644">
        <v>6670</v>
      </c>
      <c r="J644" s="4" t="s">
        <v>15</v>
      </c>
      <c r="K644">
        <v>2019</v>
      </c>
    </row>
    <row r="645" spans="1:11" hidden="1" x14ac:dyDescent="0.3">
      <c r="A645" s="4" t="s">
        <v>6</v>
      </c>
      <c r="B645" s="4" t="s">
        <v>9</v>
      </c>
      <c r="C645" s="4" t="s">
        <v>5</v>
      </c>
      <c r="D645" s="4" t="s">
        <v>1</v>
      </c>
      <c r="E645">
        <v>260</v>
      </c>
      <c r="F645">
        <v>20</v>
      </c>
      <c r="G645">
        <v>5200</v>
      </c>
      <c r="H645">
        <v>4472</v>
      </c>
      <c r="I645">
        <v>1872</v>
      </c>
      <c r="J645" s="4" t="s">
        <v>7</v>
      </c>
      <c r="K645">
        <v>2019</v>
      </c>
    </row>
    <row r="646" spans="1:11" hidden="1" x14ac:dyDescent="0.3">
      <c r="A646" s="4" t="s">
        <v>18</v>
      </c>
      <c r="B646" s="4" t="s">
        <v>40</v>
      </c>
      <c r="C646" s="4" t="s">
        <v>5</v>
      </c>
      <c r="D646" s="4" t="s">
        <v>1</v>
      </c>
      <c r="E646">
        <v>2470</v>
      </c>
      <c r="F646">
        <v>15</v>
      </c>
      <c r="G646">
        <v>37050</v>
      </c>
      <c r="H646">
        <v>31863</v>
      </c>
      <c r="I646">
        <v>7163</v>
      </c>
      <c r="J646" s="4" t="s">
        <v>21</v>
      </c>
      <c r="K646">
        <v>2018</v>
      </c>
    </row>
    <row r="647" spans="1:11" hidden="1" x14ac:dyDescent="0.3">
      <c r="A647" s="4" t="s">
        <v>18</v>
      </c>
      <c r="B647" s="4" t="s">
        <v>40</v>
      </c>
      <c r="C647" s="4" t="s">
        <v>5</v>
      </c>
      <c r="D647" s="4" t="s">
        <v>1</v>
      </c>
      <c r="E647">
        <v>1743</v>
      </c>
      <c r="F647">
        <v>15</v>
      </c>
      <c r="G647">
        <v>26145</v>
      </c>
      <c r="H647">
        <v>22484.7</v>
      </c>
      <c r="I647">
        <v>5054.7</v>
      </c>
      <c r="J647" s="4" t="s">
        <v>10</v>
      </c>
      <c r="K647">
        <v>2018</v>
      </c>
    </row>
    <row r="648" spans="1:11" hidden="1" x14ac:dyDescent="0.3">
      <c r="A648" s="4" t="s">
        <v>3</v>
      </c>
      <c r="B648" s="4" t="s">
        <v>42</v>
      </c>
      <c r="C648" s="4" t="s">
        <v>5</v>
      </c>
      <c r="D648" s="4" t="s">
        <v>1</v>
      </c>
      <c r="E648">
        <v>2914</v>
      </c>
      <c r="F648">
        <v>12</v>
      </c>
      <c r="G648">
        <v>34968</v>
      </c>
      <c r="H648">
        <v>30072.48</v>
      </c>
      <c r="I648">
        <v>21330.48</v>
      </c>
      <c r="J648" s="4" t="s">
        <v>10</v>
      </c>
      <c r="K648">
        <v>2019</v>
      </c>
    </row>
    <row r="649" spans="1:11" hidden="1" x14ac:dyDescent="0.3">
      <c r="A649" s="4" t="s">
        <v>6</v>
      </c>
      <c r="B649" s="4" t="s">
        <v>14</v>
      </c>
      <c r="C649" s="4" t="s">
        <v>5</v>
      </c>
      <c r="D649" s="4" t="s">
        <v>1</v>
      </c>
      <c r="E649">
        <v>1731</v>
      </c>
      <c r="F649">
        <v>7</v>
      </c>
      <c r="G649">
        <v>12117</v>
      </c>
      <c r="H649">
        <v>10420.620000000001</v>
      </c>
      <c r="I649">
        <v>1765.62</v>
      </c>
      <c r="J649" s="4" t="s">
        <v>10</v>
      </c>
      <c r="K649">
        <v>2019</v>
      </c>
    </row>
    <row r="650" spans="1:11" hidden="1" x14ac:dyDescent="0.3">
      <c r="A650" s="4" t="s">
        <v>6</v>
      </c>
      <c r="B650" s="4" t="s">
        <v>40</v>
      </c>
      <c r="C650" s="4" t="s">
        <v>5</v>
      </c>
      <c r="D650" s="4" t="s">
        <v>1</v>
      </c>
      <c r="E650">
        <v>700</v>
      </c>
      <c r="F650">
        <v>350</v>
      </c>
      <c r="G650">
        <v>245000</v>
      </c>
      <c r="H650">
        <v>210700</v>
      </c>
      <c r="I650">
        <v>28700</v>
      </c>
      <c r="J650" s="4" t="s">
        <v>16</v>
      </c>
      <c r="K650">
        <v>2019</v>
      </c>
    </row>
    <row r="651" spans="1:11" hidden="1" x14ac:dyDescent="0.3">
      <c r="A651" s="4" t="s">
        <v>3</v>
      </c>
      <c r="B651" s="4" t="s">
        <v>40</v>
      </c>
      <c r="C651" s="4" t="s">
        <v>5</v>
      </c>
      <c r="D651" s="4" t="s">
        <v>1</v>
      </c>
      <c r="E651">
        <v>2222</v>
      </c>
      <c r="F651">
        <v>12</v>
      </c>
      <c r="G651">
        <v>26664</v>
      </c>
      <c r="H651">
        <v>22931.040000000001</v>
      </c>
      <c r="I651">
        <v>16265.04</v>
      </c>
      <c r="J651" s="4" t="s">
        <v>16</v>
      </c>
      <c r="K651">
        <v>2018</v>
      </c>
    </row>
    <row r="652" spans="1:11" hidden="1" x14ac:dyDescent="0.3">
      <c r="A652" s="4" t="s">
        <v>6</v>
      </c>
      <c r="B652" s="4" t="s">
        <v>42</v>
      </c>
      <c r="C652" s="4" t="s">
        <v>5</v>
      </c>
      <c r="D652" s="4" t="s">
        <v>1</v>
      </c>
      <c r="E652">
        <v>1177</v>
      </c>
      <c r="F652">
        <v>350</v>
      </c>
      <c r="G652">
        <v>411950</v>
      </c>
      <c r="H652">
        <v>354277</v>
      </c>
      <c r="I652">
        <v>48257</v>
      </c>
      <c r="J652" s="4" t="s">
        <v>16</v>
      </c>
      <c r="K652">
        <v>2019</v>
      </c>
    </row>
    <row r="653" spans="1:11" hidden="1" x14ac:dyDescent="0.3">
      <c r="A653" s="4" t="s">
        <v>6</v>
      </c>
      <c r="B653" s="4" t="s">
        <v>14</v>
      </c>
      <c r="C653" s="4" t="s">
        <v>5</v>
      </c>
      <c r="D653" s="4" t="s">
        <v>1</v>
      </c>
      <c r="E653">
        <v>1922</v>
      </c>
      <c r="F653">
        <v>350</v>
      </c>
      <c r="G653">
        <v>672700</v>
      </c>
      <c r="H653">
        <v>578522</v>
      </c>
      <c r="I653">
        <v>78802</v>
      </c>
      <c r="J653" s="4" t="s">
        <v>16</v>
      </c>
      <c r="K653">
        <v>2018</v>
      </c>
    </row>
    <row r="654" spans="1:11" hidden="1" x14ac:dyDescent="0.3">
      <c r="A654" s="4" t="s">
        <v>17</v>
      </c>
      <c r="B654" s="4" t="s">
        <v>9</v>
      </c>
      <c r="C654" s="4" t="s">
        <v>20</v>
      </c>
      <c r="D654" s="4" t="s">
        <v>1</v>
      </c>
      <c r="E654">
        <v>1575</v>
      </c>
      <c r="F654">
        <v>125</v>
      </c>
      <c r="G654">
        <v>196875</v>
      </c>
      <c r="H654">
        <v>169312.5</v>
      </c>
      <c r="I654">
        <v>-19687.5</v>
      </c>
      <c r="J654" s="4" t="s">
        <v>7</v>
      </c>
      <c r="K654">
        <v>2019</v>
      </c>
    </row>
    <row r="655" spans="1:11" hidden="1" x14ac:dyDescent="0.3">
      <c r="A655" s="4" t="s">
        <v>6</v>
      </c>
      <c r="B655" s="4" t="s">
        <v>42</v>
      </c>
      <c r="C655" s="4" t="s">
        <v>20</v>
      </c>
      <c r="D655" s="4" t="s">
        <v>1</v>
      </c>
      <c r="E655">
        <v>606</v>
      </c>
      <c r="F655">
        <v>20</v>
      </c>
      <c r="G655">
        <v>12120</v>
      </c>
      <c r="H655">
        <v>10423.200000000001</v>
      </c>
      <c r="I655">
        <v>4363.2</v>
      </c>
      <c r="J655" s="4" t="s">
        <v>4</v>
      </c>
      <c r="K655">
        <v>2019</v>
      </c>
    </row>
    <row r="656" spans="1:11" hidden="1" x14ac:dyDescent="0.3">
      <c r="A656" s="4" t="s">
        <v>12</v>
      </c>
      <c r="B656" s="4" t="s">
        <v>42</v>
      </c>
      <c r="C656" s="4" t="s">
        <v>20</v>
      </c>
      <c r="D656" s="4" t="s">
        <v>1</v>
      </c>
      <c r="E656">
        <v>2460</v>
      </c>
      <c r="F656">
        <v>300</v>
      </c>
      <c r="G656">
        <v>738000</v>
      </c>
      <c r="H656">
        <v>634680</v>
      </c>
      <c r="I656">
        <v>19680</v>
      </c>
      <c r="J656" s="4" t="s">
        <v>19</v>
      </c>
      <c r="K656">
        <v>2019</v>
      </c>
    </row>
    <row r="657" spans="1:11" hidden="1" x14ac:dyDescent="0.3">
      <c r="A657" s="4" t="s">
        <v>12</v>
      </c>
      <c r="B657" s="4" t="s">
        <v>40</v>
      </c>
      <c r="C657" s="4" t="s">
        <v>20</v>
      </c>
      <c r="D657" s="4" t="s">
        <v>1</v>
      </c>
      <c r="E657">
        <v>269</v>
      </c>
      <c r="F657">
        <v>300</v>
      </c>
      <c r="G657">
        <v>80700</v>
      </c>
      <c r="H657">
        <v>69402</v>
      </c>
      <c r="I657">
        <v>2152</v>
      </c>
      <c r="J657" s="4" t="s">
        <v>10</v>
      </c>
      <c r="K657">
        <v>2018</v>
      </c>
    </row>
    <row r="658" spans="1:11" hidden="1" x14ac:dyDescent="0.3">
      <c r="A658" s="4" t="s">
        <v>12</v>
      </c>
      <c r="B658" s="4" t="s">
        <v>41</v>
      </c>
      <c r="C658" s="4" t="s">
        <v>20</v>
      </c>
      <c r="D658" s="4" t="s">
        <v>1</v>
      </c>
      <c r="E658">
        <v>2536</v>
      </c>
      <c r="F658">
        <v>300</v>
      </c>
      <c r="G658">
        <v>760800</v>
      </c>
      <c r="H658">
        <v>654288</v>
      </c>
      <c r="I658">
        <v>20288</v>
      </c>
      <c r="J658" s="4" t="s">
        <v>16</v>
      </c>
      <c r="K658">
        <v>2018</v>
      </c>
    </row>
    <row r="659" spans="1:11" hidden="1" x14ac:dyDescent="0.3">
      <c r="A659" s="4" t="s">
        <v>6</v>
      </c>
      <c r="B659" s="4" t="s">
        <v>9</v>
      </c>
      <c r="C659" s="4" t="s">
        <v>2</v>
      </c>
      <c r="D659" s="4" t="s">
        <v>1</v>
      </c>
      <c r="E659">
        <v>2903</v>
      </c>
      <c r="F659">
        <v>7</v>
      </c>
      <c r="G659">
        <v>20321</v>
      </c>
      <c r="H659">
        <v>17476.060000000001</v>
      </c>
      <c r="I659">
        <v>2961.06</v>
      </c>
      <c r="J659" s="4" t="s">
        <v>13</v>
      </c>
      <c r="K659">
        <v>2019</v>
      </c>
    </row>
    <row r="660" spans="1:11" hidden="1" x14ac:dyDescent="0.3">
      <c r="A660" s="4" t="s">
        <v>12</v>
      </c>
      <c r="B660" s="4" t="s">
        <v>42</v>
      </c>
      <c r="C660" s="4" t="s">
        <v>2</v>
      </c>
      <c r="D660" s="4" t="s">
        <v>1</v>
      </c>
      <c r="E660">
        <v>2541</v>
      </c>
      <c r="F660">
        <v>300</v>
      </c>
      <c r="G660">
        <v>762300</v>
      </c>
      <c r="H660">
        <v>655578</v>
      </c>
      <c r="I660">
        <v>20328</v>
      </c>
      <c r="J660" s="4" t="s">
        <v>22</v>
      </c>
      <c r="K660">
        <v>2019</v>
      </c>
    </row>
    <row r="661" spans="1:11" hidden="1" x14ac:dyDescent="0.3">
      <c r="A661" s="4" t="s">
        <v>12</v>
      </c>
      <c r="B661" s="4" t="s">
        <v>40</v>
      </c>
      <c r="C661" s="4" t="s">
        <v>2</v>
      </c>
      <c r="D661" s="4" t="s">
        <v>1</v>
      </c>
      <c r="E661">
        <v>269</v>
      </c>
      <c r="F661">
        <v>300</v>
      </c>
      <c r="G661">
        <v>80700</v>
      </c>
      <c r="H661">
        <v>69402</v>
      </c>
      <c r="I661">
        <v>2152</v>
      </c>
      <c r="J661" s="4" t="s">
        <v>10</v>
      </c>
      <c r="K661">
        <v>2018</v>
      </c>
    </row>
    <row r="662" spans="1:11" hidden="1" x14ac:dyDescent="0.3">
      <c r="A662" s="4" t="s">
        <v>12</v>
      </c>
      <c r="B662" s="4" t="s">
        <v>40</v>
      </c>
      <c r="C662" s="4" t="s">
        <v>2</v>
      </c>
      <c r="D662" s="4" t="s">
        <v>1</v>
      </c>
      <c r="E662">
        <v>1496</v>
      </c>
      <c r="F662">
        <v>300</v>
      </c>
      <c r="G662">
        <v>448800</v>
      </c>
      <c r="H662">
        <v>385968</v>
      </c>
      <c r="I662">
        <v>11968</v>
      </c>
      <c r="J662" s="4" t="s">
        <v>10</v>
      </c>
      <c r="K662">
        <v>2019</v>
      </c>
    </row>
    <row r="663" spans="1:11" hidden="1" x14ac:dyDescent="0.3">
      <c r="A663" s="4" t="s">
        <v>12</v>
      </c>
      <c r="B663" s="4" t="s">
        <v>42</v>
      </c>
      <c r="C663" s="4" t="s">
        <v>2</v>
      </c>
      <c r="D663" s="4" t="s">
        <v>1</v>
      </c>
      <c r="E663">
        <v>1010</v>
      </c>
      <c r="F663">
        <v>300</v>
      </c>
      <c r="G663">
        <v>303000</v>
      </c>
      <c r="H663">
        <v>260580</v>
      </c>
      <c r="I663">
        <v>8080</v>
      </c>
      <c r="J663" s="4" t="s">
        <v>10</v>
      </c>
      <c r="K663">
        <v>2019</v>
      </c>
    </row>
    <row r="664" spans="1:11" hidden="1" x14ac:dyDescent="0.3">
      <c r="A664" s="4" t="s">
        <v>6</v>
      </c>
      <c r="B664" s="4" t="s">
        <v>14</v>
      </c>
      <c r="C664" s="4" t="s">
        <v>2</v>
      </c>
      <c r="D664" s="4" t="s">
        <v>1</v>
      </c>
      <c r="E664">
        <v>1281</v>
      </c>
      <c r="F664">
        <v>350</v>
      </c>
      <c r="G664">
        <v>448350</v>
      </c>
      <c r="H664">
        <v>385581</v>
      </c>
      <c r="I664">
        <v>52521</v>
      </c>
      <c r="J664" s="4" t="s">
        <v>15</v>
      </c>
      <c r="K664">
        <v>2018</v>
      </c>
    </row>
    <row r="665" spans="1:11" hidden="1" x14ac:dyDescent="0.3">
      <c r="A665" s="4" t="s">
        <v>12</v>
      </c>
      <c r="B665" s="4" t="s">
        <v>40</v>
      </c>
      <c r="C665" s="4" t="s">
        <v>11</v>
      </c>
      <c r="D665" s="4" t="s">
        <v>1</v>
      </c>
      <c r="E665">
        <v>888</v>
      </c>
      <c r="F665">
        <v>300</v>
      </c>
      <c r="G665">
        <v>266400</v>
      </c>
      <c r="H665">
        <v>229104</v>
      </c>
      <c r="I665">
        <v>7104</v>
      </c>
      <c r="J665" s="4" t="s">
        <v>13</v>
      </c>
      <c r="K665">
        <v>2019</v>
      </c>
    </row>
    <row r="666" spans="1:11" hidden="1" x14ac:dyDescent="0.3">
      <c r="A666" s="4" t="s">
        <v>17</v>
      </c>
      <c r="B666" s="4" t="s">
        <v>42</v>
      </c>
      <c r="C666" s="4" t="s">
        <v>11</v>
      </c>
      <c r="D666" s="4" t="s">
        <v>1</v>
      </c>
      <c r="E666">
        <v>2844</v>
      </c>
      <c r="F666">
        <v>125</v>
      </c>
      <c r="G666">
        <v>355500</v>
      </c>
      <c r="H666">
        <v>305730</v>
      </c>
      <c r="I666">
        <v>-35550</v>
      </c>
      <c r="J666" s="4" t="s">
        <v>0</v>
      </c>
      <c r="K666">
        <v>2019</v>
      </c>
    </row>
    <row r="667" spans="1:11" hidden="1" x14ac:dyDescent="0.3">
      <c r="A667" s="4" t="s">
        <v>3</v>
      </c>
      <c r="B667" s="4" t="s">
        <v>14</v>
      </c>
      <c r="C667" s="4" t="s">
        <v>11</v>
      </c>
      <c r="D667" s="4" t="s">
        <v>1</v>
      </c>
      <c r="E667">
        <v>2475</v>
      </c>
      <c r="F667">
        <v>12</v>
      </c>
      <c r="G667">
        <v>29700</v>
      </c>
      <c r="H667">
        <v>25542</v>
      </c>
      <c r="I667">
        <v>18117</v>
      </c>
      <c r="J667" s="4" t="s">
        <v>22</v>
      </c>
      <c r="K667">
        <v>2019</v>
      </c>
    </row>
    <row r="668" spans="1:11" hidden="1" x14ac:dyDescent="0.3">
      <c r="A668" s="4" t="s">
        <v>18</v>
      </c>
      <c r="B668" s="4" t="s">
        <v>40</v>
      </c>
      <c r="C668" s="4" t="s">
        <v>11</v>
      </c>
      <c r="D668" s="4" t="s">
        <v>1</v>
      </c>
      <c r="E668">
        <v>1743</v>
      </c>
      <c r="F668">
        <v>15</v>
      </c>
      <c r="G668">
        <v>26145</v>
      </c>
      <c r="H668">
        <v>22484.7</v>
      </c>
      <c r="I668">
        <v>5054.7</v>
      </c>
      <c r="J668" s="4" t="s">
        <v>10</v>
      </c>
      <c r="K668">
        <v>2018</v>
      </c>
    </row>
    <row r="669" spans="1:11" hidden="1" x14ac:dyDescent="0.3">
      <c r="A669" s="4" t="s">
        <v>3</v>
      </c>
      <c r="B669" s="4" t="s">
        <v>42</v>
      </c>
      <c r="C669" s="4" t="s">
        <v>11</v>
      </c>
      <c r="D669" s="4" t="s">
        <v>1</v>
      </c>
      <c r="E669">
        <v>2914</v>
      </c>
      <c r="F669">
        <v>12</v>
      </c>
      <c r="G669">
        <v>34968</v>
      </c>
      <c r="H669">
        <v>30072.48</v>
      </c>
      <c r="I669">
        <v>21330.48</v>
      </c>
      <c r="J669" s="4" t="s">
        <v>10</v>
      </c>
      <c r="K669">
        <v>2019</v>
      </c>
    </row>
    <row r="670" spans="1:11" hidden="1" x14ac:dyDescent="0.3">
      <c r="A670" s="4" t="s">
        <v>6</v>
      </c>
      <c r="B670" s="4" t="s">
        <v>14</v>
      </c>
      <c r="C670" s="4" t="s">
        <v>11</v>
      </c>
      <c r="D670" s="4" t="s">
        <v>1</v>
      </c>
      <c r="E670">
        <v>1731</v>
      </c>
      <c r="F670">
        <v>7</v>
      </c>
      <c r="G670">
        <v>12117</v>
      </c>
      <c r="H670">
        <v>10420.620000000001</v>
      </c>
      <c r="I670">
        <v>1765.62</v>
      </c>
      <c r="J670" s="4" t="s">
        <v>10</v>
      </c>
      <c r="K670">
        <v>2019</v>
      </c>
    </row>
    <row r="671" spans="1:11" hidden="1" x14ac:dyDescent="0.3">
      <c r="A671" s="4" t="s">
        <v>6</v>
      </c>
      <c r="B671" s="4" t="s">
        <v>9</v>
      </c>
      <c r="C671" s="4" t="s">
        <v>11</v>
      </c>
      <c r="D671" s="4" t="s">
        <v>1</v>
      </c>
      <c r="E671">
        <v>1727</v>
      </c>
      <c r="F671">
        <v>7</v>
      </c>
      <c r="G671">
        <v>12089</v>
      </c>
      <c r="H671">
        <v>10396.540000000001</v>
      </c>
      <c r="I671">
        <v>1761.54</v>
      </c>
      <c r="J671" s="4" t="s">
        <v>10</v>
      </c>
      <c r="K671">
        <v>2018</v>
      </c>
    </row>
    <row r="672" spans="1:11" hidden="1" x14ac:dyDescent="0.3">
      <c r="A672" s="4" t="s">
        <v>18</v>
      </c>
      <c r="B672" s="4" t="s">
        <v>9</v>
      </c>
      <c r="C672" s="4" t="s">
        <v>11</v>
      </c>
      <c r="D672" s="4" t="s">
        <v>1</v>
      </c>
      <c r="E672">
        <v>1870</v>
      </c>
      <c r="F672">
        <v>15</v>
      </c>
      <c r="G672">
        <v>28050</v>
      </c>
      <c r="H672">
        <v>24123</v>
      </c>
      <c r="I672">
        <v>5423</v>
      </c>
      <c r="J672" s="4" t="s">
        <v>16</v>
      </c>
      <c r="K672">
        <v>2018</v>
      </c>
    </row>
    <row r="673" spans="1:11" x14ac:dyDescent="0.3">
      <c r="A673" s="4" t="s">
        <v>17</v>
      </c>
      <c r="B673" s="4" t="s">
        <v>14</v>
      </c>
      <c r="C673" s="4" t="s">
        <v>23</v>
      </c>
      <c r="D673" s="4" t="s">
        <v>1</v>
      </c>
      <c r="E673">
        <v>1174</v>
      </c>
      <c r="F673">
        <v>125</v>
      </c>
      <c r="G673">
        <v>146750</v>
      </c>
      <c r="H673">
        <v>124737.5</v>
      </c>
      <c r="I673">
        <v>-16142.5</v>
      </c>
      <c r="J673" s="4" t="s">
        <v>22</v>
      </c>
      <c r="K673">
        <v>2019</v>
      </c>
    </row>
    <row r="674" spans="1:11" x14ac:dyDescent="0.3">
      <c r="A674" s="4" t="s">
        <v>17</v>
      </c>
      <c r="B674" s="4" t="s">
        <v>41</v>
      </c>
      <c r="C674" s="4" t="s">
        <v>23</v>
      </c>
      <c r="D674" s="4" t="s">
        <v>1</v>
      </c>
      <c r="E674">
        <v>2767</v>
      </c>
      <c r="F674">
        <v>125</v>
      </c>
      <c r="G674">
        <v>345875</v>
      </c>
      <c r="H674">
        <v>293993.75</v>
      </c>
      <c r="I674">
        <v>-38046.25</v>
      </c>
      <c r="J674" s="4" t="s">
        <v>22</v>
      </c>
      <c r="K674">
        <v>2019</v>
      </c>
    </row>
    <row r="675" spans="1:11" x14ac:dyDescent="0.3">
      <c r="A675" s="4" t="s">
        <v>17</v>
      </c>
      <c r="B675" s="4" t="s">
        <v>41</v>
      </c>
      <c r="C675" s="4" t="s">
        <v>23</v>
      </c>
      <c r="D675" s="4" t="s">
        <v>1</v>
      </c>
      <c r="E675">
        <v>1085</v>
      </c>
      <c r="F675">
        <v>125</v>
      </c>
      <c r="G675">
        <v>135625</v>
      </c>
      <c r="H675">
        <v>115281.25</v>
      </c>
      <c r="I675">
        <v>-14918.75</v>
      </c>
      <c r="J675" s="4" t="s">
        <v>10</v>
      </c>
      <c r="K675">
        <v>2019</v>
      </c>
    </row>
    <row r="676" spans="1:11" hidden="1" x14ac:dyDescent="0.3">
      <c r="A676" s="4" t="s">
        <v>12</v>
      </c>
      <c r="B676" s="4" t="s">
        <v>9</v>
      </c>
      <c r="C676" s="4" t="s">
        <v>8</v>
      </c>
      <c r="D676" s="4" t="s">
        <v>1</v>
      </c>
      <c r="E676">
        <v>546</v>
      </c>
      <c r="F676">
        <v>300</v>
      </c>
      <c r="G676">
        <v>163800</v>
      </c>
      <c r="H676">
        <v>139230</v>
      </c>
      <c r="I676">
        <v>2730</v>
      </c>
      <c r="J676" s="4" t="s">
        <v>10</v>
      </c>
      <c r="K676">
        <v>2019</v>
      </c>
    </row>
    <row r="677" spans="1:11" hidden="1" x14ac:dyDescent="0.3">
      <c r="A677" s="4" t="s">
        <v>6</v>
      </c>
      <c r="B677" s="4" t="s">
        <v>41</v>
      </c>
      <c r="C677" s="4" t="s">
        <v>5</v>
      </c>
      <c r="D677" s="4" t="s">
        <v>1</v>
      </c>
      <c r="E677">
        <v>1158</v>
      </c>
      <c r="F677">
        <v>20</v>
      </c>
      <c r="G677">
        <v>23160</v>
      </c>
      <c r="H677">
        <v>19686</v>
      </c>
      <c r="I677">
        <v>8106</v>
      </c>
      <c r="J677" s="4" t="s">
        <v>13</v>
      </c>
      <c r="K677">
        <v>2019</v>
      </c>
    </row>
    <row r="678" spans="1:11" hidden="1" x14ac:dyDescent="0.3">
      <c r="A678" s="4" t="s">
        <v>18</v>
      </c>
      <c r="B678" s="4" t="s">
        <v>40</v>
      </c>
      <c r="C678" s="4" t="s">
        <v>5</v>
      </c>
      <c r="D678" s="4" t="s">
        <v>1</v>
      </c>
      <c r="E678">
        <v>1614</v>
      </c>
      <c r="F678">
        <v>15</v>
      </c>
      <c r="G678">
        <v>24210</v>
      </c>
      <c r="H678">
        <v>20578.5</v>
      </c>
      <c r="I678">
        <v>4438.5</v>
      </c>
      <c r="J678" s="4" t="s">
        <v>4</v>
      </c>
      <c r="K678">
        <v>2019</v>
      </c>
    </row>
    <row r="679" spans="1:11" hidden="1" x14ac:dyDescent="0.3">
      <c r="A679" s="4" t="s">
        <v>6</v>
      </c>
      <c r="B679" s="4" t="s">
        <v>9</v>
      </c>
      <c r="C679" s="4" t="s">
        <v>5</v>
      </c>
      <c r="D679" s="4" t="s">
        <v>1</v>
      </c>
      <c r="E679">
        <v>2535</v>
      </c>
      <c r="F679">
        <v>7</v>
      </c>
      <c r="G679">
        <v>17745</v>
      </c>
      <c r="H679">
        <v>15083.25</v>
      </c>
      <c r="I679">
        <v>2408.25</v>
      </c>
      <c r="J679" s="4" t="s">
        <v>4</v>
      </c>
      <c r="K679">
        <v>2019</v>
      </c>
    </row>
    <row r="680" spans="1:11" hidden="1" x14ac:dyDescent="0.3">
      <c r="A680" s="4" t="s">
        <v>6</v>
      </c>
      <c r="B680" s="4" t="s">
        <v>9</v>
      </c>
      <c r="C680" s="4" t="s">
        <v>5</v>
      </c>
      <c r="D680" s="4" t="s">
        <v>1</v>
      </c>
      <c r="E680">
        <v>2851</v>
      </c>
      <c r="F680">
        <v>350</v>
      </c>
      <c r="G680">
        <v>997850</v>
      </c>
      <c r="H680">
        <v>848172.5</v>
      </c>
      <c r="I680">
        <v>106912.5</v>
      </c>
      <c r="J680" s="4" t="s">
        <v>0</v>
      </c>
      <c r="K680">
        <v>2019</v>
      </c>
    </row>
    <row r="681" spans="1:11" hidden="1" x14ac:dyDescent="0.3">
      <c r="A681" s="4" t="s">
        <v>18</v>
      </c>
      <c r="B681" s="4" t="s">
        <v>40</v>
      </c>
      <c r="C681" s="4" t="s">
        <v>5</v>
      </c>
      <c r="D681" s="4" t="s">
        <v>1</v>
      </c>
      <c r="E681">
        <v>2559</v>
      </c>
      <c r="F681">
        <v>15</v>
      </c>
      <c r="G681">
        <v>38385</v>
      </c>
      <c r="H681">
        <v>32627.25</v>
      </c>
      <c r="I681">
        <v>7037.25</v>
      </c>
      <c r="J681" s="4" t="s">
        <v>22</v>
      </c>
      <c r="K681">
        <v>2019</v>
      </c>
    </row>
    <row r="682" spans="1:11" hidden="1" x14ac:dyDescent="0.3">
      <c r="A682" s="4" t="s">
        <v>6</v>
      </c>
      <c r="B682" s="4" t="s">
        <v>42</v>
      </c>
      <c r="C682" s="4" t="s">
        <v>5</v>
      </c>
      <c r="D682" s="4" t="s">
        <v>1</v>
      </c>
      <c r="E682">
        <v>267</v>
      </c>
      <c r="F682">
        <v>20</v>
      </c>
      <c r="G682">
        <v>5340</v>
      </c>
      <c r="H682">
        <v>4539</v>
      </c>
      <c r="I682">
        <v>1869</v>
      </c>
      <c r="J682" s="4" t="s">
        <v>10</v>
      </c>
      <c r="K682">
        <v>2018</v>
      </c>
    </row>
    <row r="683" spans="1:11" hidden="1" x14ac:dyDescent="0.3">
      <c r="A683" s="4" t="s">
        <v>17</v>
      </c>
      <c r="B683" s="4" t="s">
        <v>41</v>
      </c>
      <c r="C683" s="4" t="s">
        <v>5</v>
      </c>
      <c r="D683" s="4" t="s">
        <v>1</v>
      </c>
      <c r="E683">
        <v>1085</v>
      </c>
      <c r="F683">
        <v>125</v>
      </c>
      <c r="G683">
        <v>135625</v>
      </c>
      <c r="H683">
        <v>115281.25</v>
      </c>
      <c r="I683">
        <v>-14918.75</v>
      </c>
      <c r="J683" s="4" t="s">
        <v>10</v>
      </c>
      <c r="K683">
        <v>2019</v>
      </c>
    </row>
    <row r="684" spans="1:11" hidden="1" x14ac:dyDescent="0.3">
      <c r="A684" s="4" t="s">
        <v>18</v>
      </c>
      <c r="B684" s="4" t="s">
        <v>41</v>
      </c>
      <c r="C684" s="4" t="s">
        <v>5</v>
      </c>
      <c r="D684" s="4" t="s">
        <v>1</v>
      </c>
      <c r="E684">
        <v>1175</v>
      </c>
      <c r="F684">
        <v>15</v>
      </c>
      <c r="G684">
        <v>17625</v>
      </c>
      <c r="H684">
        <v>14981.25</v>
      </c>
      <c r="I684">
        <v>3231.25</v>
      </c>
      <c r="J684" s="4" t="s">
        <v>10</v>
      </c>
      <c r="K684">
        <v>2019</v>
      </c>
    </row>
    <row r="685" spans="1:11" hidden="1" x14ac:dyDescent="0.3">
      <c r="A685" s="4" t="s">
        <v>6</v>
      </c>
      <c r="B685" s="4" t="s">
        <v>42</v>
      </c>
      <c r="C685" s="4" t="s">
        <v>5</v>
      </c>
      <c r="D685" s="4" t="s">
        <v>1</v>
      </c>
      <c r="E685">
        <v>2007</v>
      </c>
      <c r="F685">
        <v>350</v>
      </c>
      <c r="G685">
        <v>702450</v>
      </c>
      <c r="H685">
        <v>597082.5</v>
      </c>
      <c r="I685">
        <v>75262.5</v>
      </c>
      <c r="J685" s="4" t="s">
        <v>16</v>
      </c>
      <c r="K685">
        <v>2018</v>
      </c>
    </row>
    <row r="686" spans="1:11" hidden="1" x14ac:dyDescent="0.3">
      <c r="A686" s="4" t="s">
        <v>6</v>
      </c>
      <c r="B686" s="4" t="s">
        <v>9</v>
      </c>
      <c r="C686" s="4" t="s">
        <v>5</v>
      </c>
      <c r="D686" s="4" t="s">
        <v>1</v>
      </c>
      <c r="E686">
        <v>2151</v>
      </c>
      <c r="F686">
        <v>350</v>
      </c>
      <c r="G686">
        <v>752850</v>
      </c>
      <c r="H686">
        <v>639922.5</v>
      </c>
      <c r="I686">
        <v>80662.5</v>
      </c>
      <c r="J686" s="4" t="s">
        <v>16</v>
      </c>
      <c r="K686">
        <v>2018</v>
      </c>
    </row>
    <row r="687" spans="1:11" hidden="1" x14ac:dyDescent="0.3">
      <c r="A687" s="4" t="s">
        <v>3</v>
      </c>
      <c r="B687" s="4" t="s">
        <v>42</v>
      </c>
      <c r="C687" s="4" t="s">
        <v>5</v>
      </c>
      <c r="D687" s="4" t="s">
        <v>1</v>
      </c>
      <c r="E687">
        <v>914</v>
      </c>
      <c r="F687">
        <v>12</v>
      </c>
      <c r="G687">
        <v>10968</v>
      </c>
      <c r="H687">
        <v>9322.7999999999993</v>
      </c>
      <c r="I687">
        <v>6580.8</v>
      </c>
      <c r="J687" s="4" t="s">
        <v>15</v>
      </c>
      <c r="K687">
        <v>2019</v>
      </c>
    </row>
    <row r="688" spans="1:11" hidden="1" x14ac:dyDescent="0.3">
      <c r="A688" s="4" t="s">
        <v>6</v>
      </c>
      <c r="B688" s="4" t="s">
        <v>14</v>
      </c>
      <c r="C688" s="4" t="s">
        <v>5</v>
      </c>
      <c r="D688" s="4" t="s">
        <v>1</v>
      </c>
      <c r="E688">
        <v>293</v>
      </c>
      <c r="F688">
        <v>20</v>
      </c>
      <c r="G688">
        <v>5860</v>
      </c>
      <c r="H688">
        <v>4981</v>
      </c>
      <c r="I688">
        <v>2051</v>
      </c>
      <c r="J688" s="4" t="s">
        <v>15</v>
      </c>
      <c r="K688">
        <v>2019</v>
      </c>
    </row>
    <row r="689" spans="1:11" hidden="1" x14ac:dyDescent="0.3">
      <c r="A689" s="4" t="s">
        <v>3</v>
      </c>
      <c r="B689" s="4" t="s">
        <v>9</v>
      </c>
      <c r="C689" s="4" t="s">
        <v>20</v>
      </c>
      <c r="D689" s="4" t="s">
        <v>1</v>
      </c>
      <c r="E689">
        <v>500</v>
      </c>
      <c r="F689">
        <v>12</v>
      </c>
      <c r="G689">
        <v>6000</v>
      </c>
      <c r="H689">
        <v>5100</v>
      </c>
      <c r="I689">
        <v>3600</v>
      </c>
      <c r="J689" s="4" t="s">
        <v>13</v>
      </c>
      <c r="K689">
        <v>2019</v>
      </c>
    </row>
    <row r="690" spans="1:11" hidden="1" x14ac:dyDescent="0.3">
      <c r="A690" s="4" t="s">
        <v>18</v>
      </c>
      <c r="B690" s="4" t="s">
        <v>14</v>
      </c>
      <c r="C690" s="4" t="s">
        <v>20</v>
      </c>
      <c r="D690" s="4" t="s">
        <v>1</v>
      </c>
      <c r="E690">
        <v>2826</v>
      </c>
      <c r="F690">
        <v>15</v>
      </c>
      <c r="G690">
        <v>42390</v>
      </c>
      <c r="H690">
        <v>36031.5</v>
      </c>
      <c r="I690">
        <v>7771.5</v>
      </c>
      <c r="J690" s="4" t="s">
        <v>0</v>
      </c>
      <c r="K690">
        <v>2019</v>
      </c>
    </row>
    <row r="691" spans="1:11" hidden="1" x14ac:dyDescent="0.3">
      <c r="A691" s="4" t="s">
        <v>17</v>
      </c>
      <c r="B691" s="4" t="s">
        <v>14</v>
      </c>
      <c r="C691" s="4" t="s">
        <v>20</v>
      </c>
      <c r="D691" s="4" t="s">
        <v>1</v>
      </c>
      <c r="E691">
        <v>663</v>
      </c>
      <c r="F691">
        <v>125</v>
      </c>
      <c r="G691">
        <v>82875</v>
      </c>
      <c r="H691">
        <v>70443.75</v>
      </c>
      <c r="I691">
        <v>-9116.25</v>
      </c>
      <c r="J691" s="4" t="s">
        <v>21</v>
      </c>
      <c r="K691">
        <v>2019</v>
      </c>
    </row>
    <row r="692" spans="1:11" hidden="1" x14ac:dyDescent="0.3">
      <c r="A692" s="4" t="s">
        <v>12</v>
      </c>
      <c r="B692" s="4" t="s">
        <v>42</v>
      </c>
      <c r="C692" s="4" t="s">
        <v>20</v>
      </c>
      <c r="D692" s="4" t="s">
        <v>1</v>
      </c>
      <c r="E692">
        <v>2574</v>
      </c>
      <c r="F692">
        <v>300</v>
      </c>
      <c r="G692">
        <v>772200</v>
      </c>
      <c r="H692">
        <v>656370</v>
      </c>
      <c r="I692">
        <v>12870</v>
      </c>
      <c r="J692" s="4" t="s">
        <v>16</v>
      </c>
      <c r="K692">
        <v>2018</v>
      </c>
    </row>
    <row r="693" spans="1:11" hidden="1" x14ac:dyDescent="0.3">
      <c r="A693" s="4" t="s">
        <v>17</v>
      </c>
      <c r="B693" s="4" t="s">
        <v>42</v>
      </c>
      <c r="C693" s="4" t="s">
        <v>20</v>
      </c>
      <c r="D693" s="4" t="s">
        <v>1</v>
      </c>
      <c r="E693">
        <v>2438</v>
      </c>
      <c r="F693">
        <v>125</v>
      </c>
      <c r="G693">
        <v>304750</v>
      </c>
      <c r="H693">
        <v>259037.5</v>
      </c>
      <c r="I693">
        <v>-33522.5</v>
      </c>
      <c r="J693" s="4" t="s">
        <v>15</v>
      </c>
      <c r="K693">
        <v>2018</v>
      </c>
    </row>
    <row r="694" spans="1:11" hidden="1" x14ac:dyDescent="0.3">
      <c r="A694" s="4" t="s">
        <v>3</v>
      </c>
      <c r="B694" s="4" t="s">
        <v>42</v>
      </c>
      <c r="C694" s="4" t="s">
        <v>20</v>
      </c>
      <c r="D694" s="4" t="s">
        <v>1</v>
      </c>
      <c r="E694">
        <v>914</v>
      </c>
      <c r="F694">
        <v>12</v>
      </c>
      <c r="G694">
        <v>10968</v>
      </c>
      <c r="H694">
        <v>9322.7999999999993</v>
      </c>
      <c r="I694">
        <v>6580.8</v>
      </c>
      <c r="J694" s="4" t="s">
        <v>15</v>
      </c>
      <c r="K694">
        <v>2019</v>
      </c>
    </row>
    <row r="695" spans="1:11" hidden="1" x14ac:dyDescent="0.3">
      <c r="A695" s="4" t="s">
        <v>6</v>
      </c>
      <c r="B695" s="4" t="s">
        <v>40</v>
      </c>
      <c r="C695" s="4" t="s">
        <v>2</v>
      </c>
      <c r="D695" s="4" t="s">
        <v>1</v>
      </c>
      <c r="E695">
        <v>865.5</v>
      </c>
      <c r="F695">
        <v>20</v>
      </c>
      <c r="G695">
        <v>17310</v>
      </c>
      <c r="H695">
        <v>14713.5</v>
      </c>
      <c r="I695">
        <v>6058.5</v>
      </c>
      <c r="J695" s="4" t="s">
        <v>19</v>
      </c>
      <c r="K695">
        <v>2019</v>
      </c>
    </row>
    <row r="696" spans="1:11" hidden="1" x14ac:dyDescent="0.3">
      <c r="A696" s="4" t="s">
        <v>18</v>
      </c>
      <c r="B696" s="4" t="s">
        <v>41</v>
      </c>
      <c r="C696" s="4" t="s">
        <v>2</v>
      </c>
      <c r="D696" s="4" t="s">
        <v>1</v>
      </c>
      <c r="E696">
        <v>492</v>
      </c>
      <c r="F696">
        <v>15</v>
      </c>
      <c r="G696">
        <v>7380</v>
      </c>
      <c r="H696">
        <v>6273</v>
      </c>
      <c r="I696">
        <v>1353</v>
      </c>
      <c r="J696" s="4" t="s">
        <v>19</v>
      </c>
      <c r="K696">
        <v>2019</v>
      </c>
    </row>
    <row r="697" spans="1:11" hidden="1" x14ac:dyDescent="0.3">
      <c r="A697" s="4" t="s">
        <v>6</v>
      </c>
      <c r="B697" s="4" t="s">
        <v>42</v>
      </c>
      <c r="C697" s="4" t="s">
        <v>2</v>
      </c>
      <c r="D697" s="4" t="s">
        <v>1</v>
      </c>
      <c r="E697">
        <v>267</v>
      </c>
      <c r="F697">
        <v>20</v>
      </c>
      <c r="G697">
        <v>5340</v>
      </c>
      <c r="H697">
        <v>4539</v>
      </c>
      <c r="I697">
        <v>1869</v>
      </c>
      <c r="J697" s="4" t="s">
        <v>10</v>
      </c>
      <c r="K697">
        <v>2018</v>
      </c>
    </row>
    <row r="698" spans="1:11" hidden="1" x14ac:dyDescent="0.3">
      <c r="A698" s="4" t="s">
        <v>18</v>
      </c>
      <c r="B698" s="4" t="s">
        <v>41</v>
      </c>
      <c r="C698" s="4" t="s">
        <v>2</v>
      </c>
      <c r="D698" s="4" t="s">
        <v>1</v>
      </c>
      <c r="E698">
        <v>1175</v>
      </c>
      <c r="F698">
        <v>15</v>
      </c>
      <c r="G698">
        <v>17625</v>
      </c>
      <c r="H698">
        <v>14981.25</v>
      </c>
      <c r="I698">
        <v>3231.25</v>
      </c>
      <c r="J698" s="4" t="s">
        <v>10</v>
      </c>
      <c r="K698">
        <v>2019</v>
      </c>
    </row>
    <row r="699" spans="1:11" hidden="1" x14ac:dyDescent="0.3">
      <c r="A699" s="4" t="s">
        <v>17</v>
      </c>
      <c r="B699" s="4" t="s">
        <v>40</v>
      </c>
      <c r="C699" s="4" t="s">
        <v>2</v>
      </c>
      <c r="D699" s="4" t="s">
        <v>1</v>
      </c>
      <c r="E699">
        <v>2954</v>
      </c>
      <c r="F699">
        <v>125</v>
      </c>
      <c r="G699">
        <v>369250</v>
      </c>
      <c r="H699">
        <v>313862.5</v>
      </c>
      <c r="I699">
        <v>-40617.5</v>
      </c>
      <c r="J699" s="4" t="s">
        <v>16</v>
      </c>
      <c r="K699">
        <v>2018</v>
      </c>
    </row>
    <row r="700" spans="1:11" hidden="1" x14ac:dyDescent="0.3">
      <c r="A700" s="4" t="s">
        <v>17</v>
      </c>
      <c r="B700" s="4" t="s">
        <v>41</v>
      </c>
      <c r="C700" s="4" t="s">
        <v>2</v>
      </c>
      <c r="D700" s="4" t="s">
        <v>1</v>
      </c>
      <c r="E700">
        <v>552</v>
      </c>
      <c r="F700">
        <v>125</v>
      </c>
      <c r="G700">
        <v>69000</v>
      </c>
      <c r="H700">
        <v>58650</v>
      </c>
      <c r="I700">
        <v>-7590</v>
      </c>
      <c r="J700" s="4" t="s">
        <v>16</v>
      </c>
      <c r="K700">
        <v>2019</v>
      </c>
    </row>
    <row r="701" spans="1:11" hidden="1" x14ac:dyDescent="0.3">
      <c r="A701" s="4" t="s">
        <v>6</v>
      </c>
      <c r="B701" s="4" t="s">
        <v>14</v>
      </c>
      <c r="C701" s="4" t="s">
        <v>2</v>
      </c>
      <c r="D701" s="4" t="s">
        <v>1</v>
      </c>
      <c r="E701">
        <v>293</v>
      </c>
      <c r="F701">
        <v>20</v>
      </c>
      <c r="G701">
        <v>5860</v>
      </c>
      <c r="H701">
        <v>4981</v>
      </c>
      <c r="I701">
        <v>2051</v>
      </c>
      <c r="J701" s="4" t="s">
        <v>15</v>
      </c>
      <c r="K701">
        <v>2019</v>
      </c>
    </row>
    <row r="702" spans="1:11" hidden="1" x14ac:dyDescent="0.3">
      <c r="A702" s="4" t="s">
        <v>12</v>
      </c>
      <c r="B702" s="4" t="s">
        <v>14</v>
      </c>
      <c r="C702" s="4" t="s">
        <v>11</v>
      </c>
      <c r="D702" s="4" t="s">
        <v>1</v>
      </c>
      <c r="E702">
        <v>2475</v>
      </c>
      <c r="F702">
        <v>300</v>
      </c>
      <c r="G702">
        <v>742500</v>
      </c>
      <c r="H702">
        <v>631125</v>
      </c>
      <c r="I702">
        <v>12375</v>
      </c>
      <c r="J702" s="4" t="s">
        <v>13</v>
      </c>
      <c r="K702">
        <v>2019</v>
      </c>
    </row>
    <row r="703" spans="1:11" hidden="1" x14ac:dyDescent="0.3">
      <c r="A703" s="4" t="s">
        <v>12</v>
      </c>
      <c r="B703" s="4" t="s">
        <v>9</v>
      </c>
      <c r="C703" s="4" t="s">
        <v>11</v>
      </c>
      <c r="D703" s="4" t="s">
        <v>1</v>
      </c>
      <c r="E703">
        <v>546</v>
      </c>
      <c r="F703">
        <v>300</v>
      </c>
      <c r="G703">
        <v>163800</v>
      </c>
      <c r="H703">
        <v>139230</v>
      </c>
      <c r="I703">
        <v>2730</v>
      </c>
      <c r="J703" s="4" t="s">
        <v>10</v>
      </c>
      <c r="K703">
        <v>2019</v>
      </c>
    </row>
    <row r="704" spans="1:11" hidden="1" x14ac:dyDescent="0.3">
      <c r="A704" s="4" t="s">
        <v>6</v>
      </c>
      <c r="B704" s="4" t="s">
        <v>9</v>
      </c>
      <c r="C704" s="4" t="s">
        <v>8</v>
      </c>
      <c r="D704" s="4" t="s">
        <v>1</v>
      </c>
      <c r="E704">
        <v>1368</v>
      </c>
      <c r="F704">
        <v>7</v>
      </c>
      <c r="G704">
        <v>9576</v>
      </c>
      <c r="H704">
        <v>8139.6</v>
      </c>
      <c r="I704">
        <v>1299.5999999999999</v>
      </c>
      <c r="J704" s="4" t="s">
        <v>7</v>
      </c>
      <c r="K704">
        <v>2019</v>
      </c>
    </row>
    <row r="705" spans="1:11" hidden="1" x14ac:dyDescent="0.3">
      <c r="A705" s="4" t="s">
        <v>6</v>
      </c>
      <c r="B705" s="4" t="s">
        <v>40</v>
      </c>
      <c r="C705" s="4" t="s">
        <v>5</v>
      </c>
      <c r="D705" s="4" t="s">
        <v>1</v>
      </c>
      <c r="E705">
        <v>723</v>
      </c>
      <c r="F705">
        <v>7</v>
      </c>
      <c r="G705">
        <v>5061</v>
      </c>
      <c r="H705">
        <v>4301.8500000000004</v>
      </c>
      <c r="I705">
        <v>686.85</v>
      </c>
      <c r="J705" s="4" t="s">
        <v>4</v>
      </c>
      <c r="K705">
        <v>2019</v>
      </c>
    </row>
    <row r="706" spans="1:11" hidden="1" x14ac:dyDescent="0.3">
      <c r="A706" s="4" t="s">
        <v>3</v>
      </c>
      <c r="B706" s="4" t="s">
        <v>42</v>
      </c>
      <c r="C706" s="4" t="s">
        <v>2</v>
      </c>
      <c r="D706" s="4" t="s">
        <v>1</v>
      </c>
      <c r="E706">
        <v>1806</v>
      </c>
      <c r="F706">
        <v>12</v>
      </c>
      <c r="G706">
        <v>21672</v>
      </c>
      <c r="H706">
        <v>18421.2</v>
      </c>
      <c r="I706">
        <v>13003.2</v>
      </c>
      <c r="J706" s="4" t="s">
        <v>0</v>
      </c>
      <c r="K706">
        <v>2019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W706"/>
  <sheetViews>
    <sheetView zoomScale="190" zoomScaleNormal="190" workbookViewId="0">
      <selection activeCell="B1" sqref="B1"/>
    </sheetView>
  </sheetViews>
  <sheetFormatPr defaultRowHeight="14.4" x14ac:dyDescent="0.3"/>
  <cols>
    <col min="1" max="1" width="16.109375" bestFit="1" customWidth="1"/>
    <col min="2" max="2" width="10" customWidth="1"/>
    <col min="3" max="3" width="9.77734375" customWidth="1"/>
    <col min="4" max="4" width="15.5546875" customWidth="1"/>
    <col min="5" max="5" width="13" style="1" customWidth="1"/>
    <col min="6" max="6" width="12.5546875" style="1" customWidth="1"/>
    <col min="7" max="8" width="15" style="1" bestFit="1" customWidth="1"/>
    <col min="9" max="9" width="13.33203125" style="1" bestFit="1" customWidth="1"/>
    <col min="10" max="10" width="14.5546875" customWidth="1"/>
    <col min="11" max="11" width="6.88671875" customWidth="1"/>
  </cols>
  <sheetData>
    <row r="1" spans="1:23" x14ac:dyDescent="0.3">
      <c r="A1" t="s">
        <v>39</v>
      </c>
      <c r="B1" t="s">
        <v>38</v>
      </c>
      <c r="C1" t="s">
        <v>37</v>
      </c>
      <c r="D1" t="s">
        <v>36</v>
      </c>
      <c r="E1" s="1" t="s">
        <v>35</v>
      </c>
      <c r="F1" s="1" t="s">
        <v>34</v>
      </c>
      <c r="G1" s="1" t="s">
        <v>33</v>
      </c>
      <c r="H1" s="1" t="s">
        <v>32</v>
      </c>
      <c r="I1" s="1" t="s">
        <v>31</v>
      </c>
      <c r="J1" t="s">
        <v>30</v>
      </c>
      <c r="K1" t="s">
        <v>29</v>
      </c>
    </row>
    <row r="2" spans="1:23" hidden="1" x14ac:dyDescent="0.3">
      <c r="A2" t="s">
        <v>6</v>
      </c>
      <c r="B2" t="s">
        <v>40</v>
      </c>
      <c r="C2" t="s">
        <v>23</v>
      </c>
      <c r="D2" t="s">
        <v>28</v>
      </c>
      <c r="E2" s="1">
        <v>1618.5</v>
      </c>
      <c r="F2" s="1">
        <v>20</v>
      </c>
      <c r="G2" s="1">
        <v>32370</v>
      </c>
      <c r="H2" s="1">
        <v>32370</v>
      </c>
      <c r="I2" s="1">
        <v>16185</v>
      </c>
      <c r="J2" t="s">
        <v>24</v>
      </c>
      <c r="K2">
        <v>2019</v>
      </c>
    </row>
    <row r="3" spans="1:23" hidden="1" x14ac:dyDescent="0.3">
      <c r="A3" t="s">
        <v>6</v>
      </c>
      <c r="B3" t="s">
        <v>41</v>
      </c>
      <c r="C3" t="s">
        <v>23</v>
      </c>
      <c r="D3" t="s">
        <v>28</v>
      </c>
      <c r="E3" s="1">
        <v>1321</v>
      </c>
      <c r="F3" s="1">
        <v>20</v>
      </c>
      <c r="G3" s="1">
        <v>26420</v>
      </c>
      <c r="H3" s="1">
        <v>26420</v>
      </c>
      <c r="I3" s="1">
        <v>13210</v>
      </c>
      <c r="J3" t="s">
        <v>24</v>
      </c>
      <c r="K3">
        <v>2019</v>
      </c>
    </row>
    <row r="4" spans="1:23" hidden="1" x14ac:dyDescent="0.3">
      <c r="A4" t="s">
        <v>18</v>
      </c>
      <c r="B4" t="s">
        <v>14</v>
      </c>
      <c r="C4" t="s">
        <v>23</v>
      </c>
      <c r="D4" t="s">
        <v>28</v>
      </c>
      <c r="E4" s="1">
        <v>2178</v>
      </c>
      <c r="F4" s="1">
        <v>15</v>
      </c>
      <c r="G4" s="1">
        <v>32670</v>
      </c>
      <c r="H4" s="1">
        <v>32670</v>
      </c>
      <c r="I4" s="1">
        <v>10890</v>
      </c>
      <c r="J4" t="s">
        <v>25</v>
      </c>
      <c r="K4">
        <v>2019</v>
      </c>
    </row>
    <row r="5" spans="1:23" hidden="1" x14ac:dyDescent="0.3">
      <c r="A5" t="s">
        <v>18</v>
      </c>
      <c r="B5" t="s">
        <v>41</v>
      </c>
      <c r="C5" t="s">
        <v>23</v>
      </c>
      <c r="D5" t="s">
        <v>28</v>
      </c>
      <c r="E5" s="1">
        <v>888</v>
      </c>
      <c r="F5" s="1">
        <v>15</v>
      </c>
      <c r="G5" s="1">
        <v>13320</v>
      </c>
      <c r="H5" s="1">
        <v>13320</v>
      </c>
      <c r="I5" s="1">
        <v>4440</v>
      </c>
      <c r="J5" t="s">
        <v>25</v>
      </c>
      <c r="K5">
        <v>2019</v>
      </c>
      <c r="M5" s="2" t="s">
        <v>43</v>
      </c>
      <c r="N5" s="2" t="s">
        <v>40</v>
      </c>
    </row>
    <row r="6" spans="1:23" hidden="1" x14ac:dyDescent="0.3">
      <c r="A6" t="s">
        <v>18</v>
      </c>
      <c r="B6" t="s">
        <v>9</v>
      </c>
      <c r="C6" t="s">
        <v>23</v>
      </c>
      <c r="D6" t="s">
        <v>28</v>
      </c>
      <c r="E6" s="1">
        <v>2470</v>
      </c>
      <c r="F6" s="1">
        <v>15</v>
      </c>
      <c r="G6" s="1">
        <v>37050</v>
      </c>
      <c r="H6" s="1">
        <v>37050</v>
      </c>
      <c r="I6" s="1">
        <v>12350</v>
      </c>
      <c r="J6" t="s">
        <v>25</v>
      </c>
      <c r="K6">
        <v>2019</v>
      </c>
      <c r="M6" t="str" cm="1">
        <f t="array" ref="M6:W147">_xlfn._xlws.FILTER(Table1[#All],Table1[[#All],[Country]]=N5,"Not Match")</f>
        <v>Government</v>
      </c>
      <c r="N6" t="str">
        <v>Canada</v>
      </c>
      <c r="O6" t="str">
        <v>Carretera</v>
      </c>
      <c r="P6" t="str">
        <v>None</v>
      </c>
      <c r="Q6">
        <v>1618.5</v>
      </c>
      <c r="R6">
        <v>20</v>
      </c>
      <c r="S6">
        <v>32370</v>
      </c>
      <c r="T6">
        <v>32370</v>
      </c>
      <c r="U6">
        <v>16185</v>
      </c>
      <c r="V6" t="str">
        <v>Jan</v>
      </c>
      <c r="W6">
        <v>2019</v>
      </c>
    </row>
    <row r="7" spans="1:23" hidden="1" x14ac:dyDescent="0.3">
      <c r="A7" t="s">
        <v>6</v>
      </c>
      <c r="B7" t="s">
        <v>41</v>
      </c>
      <c r="C7" t="s">
        <v>23</v>
      </c>
      <c r="D7" t="s">
        <v>28</v>
      </c>
      <c r="E7" s="1">
        <v>1513</v>
      </c>
      <c r="F7" s="1">
        <v>350</v>
      </c>
      <c r="G7" s="1">
        <v>529550</v>
      </c>
      <c r="H7" s="1">
        <v>529550</v>
      </c>
      <c r="I7" s="1">
        <v>136170</v>
      </c>
      <c r="J7" t="s">
        <v>15</v>
      </c>
      <c r="K7">
        <v>2019</v>
      </c>
      <c r="M7" t="str">
        <v>Channel Partners</v>
      </c>
      <c r="N7" t="str">
        <v>Canada</v>
      </c>
      <c r="O7" t="str">
        <v>Montana</v>
      </c>
      <c r="P7" t="str">
        <v>None</v>
      </c>
      <c r="Q7">
        <v>2518</v>
      </c>
      <c r="R7">
        <v>12</v>
      </c>
      <c r="S7">
        <v>30216</v>
      </c>
      <c r="T7">
        <v>30216</v>
      </c>
      <c r="U7">
        <v>22662</v>
      </c>
      <c r="V7" t="str">
        <v>Jun</v>
      </c>
      <c r="W7">
        <v>2019</v>
      </c>
    </row>
    <row r="8" spans="1:23" hidden="1" x14ac:dyDescent="0.3">
      <c r="A8" t="s">
        <v>18</v>
      </c>
      <c r="B8" t="s">
        <v>41</v>
      </c>
      <c r="C8" t="s">
        <v>8</v>
      </c>
      <c r="D8" t="s">
        <v>28</v>
      </c>
      <c r="E8" s="1">
        <v>921</v>
      </c>
      <c r="F8" s="1">
        <v>15</v>
      </c>
      <c r="G8" s="1">
        <v>13815</v>
      </c>
      <c r="H8" s="1">
        <v>13815</v>
      </c>
      <c r="I8" s="1">
        <v>4605</v>
      </c>
      <c r="J8" t="s">
        <v>13</v>
      </c>
      <c r="K8">
        <v>2019</v>
      </c>
      <c r="M8" t="str">
        <v>Enterprise</v>
      </c>
      <c r="N8" t="str">
        <v>Canada</v>
      </c>
      <c r="O8" t="str">
        <v>Montana</v>
      </c>
      <c r="P8" t="str">
        <v>None</v>
      </c>
      <c r="Q8">
        <v>2665.5</v>
      </c>
      <c r="R8">
        <v>125</v>
      </c>
      <c r="S8">
        <v>333187.5</v>
      </c>
      <c r="T8">
        <v>333187.5</v>
      </c>
      <c r="U8">
        <v>13327.5</v>
      </c>
      <c r="V8" t="str">
        <v>Jul</v>
      </c>
      <c r="W8">
        <v>2019</v>
      </c>
    </row>
    <row r="9" spans="1:23" x14ac:dyDescent="0.3">
      <c r="A9" t="s">
        <v>3</v>
      </c>
      <c r="B9" t="s">
        <v>40</v>
      </c>
      <c r="C9" t="s">
        <v>8</v>
      </c>
      <c r="D9" t="s">
        <v>28</v>
      </c>
      <c r="E9" s="1">
        <v>2518</v>
      </c>
      <c r="F9" s="1">
        <v>12</v>
      </c>
      <c r="G9" s="1">
        <v>30216</v>
      </c>
      <c r="H9" s="1">
        <v>30216</v>
      </c>
      <c r="I9" s="1">
        <v>22662</v>
      </c>
      <c r="J9" t="s">
        <v>25</v>
      </c>
      <c r="K9">
        <v>2019</v>
      </c>
      <c r="M9" t="str">
        <v>Enterprise</v>
      </c>
      <c r="N9" t="str">
        <v>Canada</v>
      </c>
      <c r="O9" t="str">
        <v>Montana</v>
      </c>
      <c r="P9" t="str">
        <v>None</v>
      </c>
      <c r="Q9">
        <v>345</v>
      </c>
      <c r="R9">
        <v>125</v>
      </c>
      <c r="S9">
        <v>43125</v>
      </c>
      <c r="T9">
        <v>43125</v>
      </c>
      <c r="U9">
        <v>1725</v>
      </c>
      <c r="V9" t="str">
        <v>Oct</v>
      </c>
      <c r="W9">
        <v>2018</v>
      </c>
    </row>
    <row r="10" spans="1:23" hidden="1" x14ac:dyDescent="0.3">
      <c r="A10" t="s">
        <v>6</v>
      </c>
      <c r="B10" t="s">
        <v>14</v>
      </c>
      <c r="C10" t="s">
        <v>8</v>
      </c>
      <c r="D10" t="s">
        <v>28</v>
      </c>
      <c r="E10" s="1">
        <v>1899</v>
      </c>
      <c r="F10" s="1">
        <v>20</v>
      </c>
      <c r="G10" s="1">
        <v>37980</v>
      </c>
      <c r="H10" s="1">
        <v>37980</v>
      </c>
      <c r="I10" s="1">
        <v>18990</v>
      </c>
      <c r="J10" t="s">
        <v>25</v>
      </c>
      <c r="K10">
        <v>2019</v>
      </c>
      <c r="M10" t="str">
        <v>Government</v>
      </c>
      <c r="N10" t="str">
        <v>Canada</v>
      </c>
      <c r="O10" t="str">
        <v>Paseo</v>
      </c>
      <c r="P10" t="str">
        <v>None</v>
      </c>
      <c r="Q10">
        <v>292</v>
      </c>
      <c r="R10">
        <v>20</v>
      </c>
      <c r="S10">
        <v>5840</v>
      </c>
      <c r="T10">
        <v>5840</v>
      </c>
      <c r="U10">
        <v>2920</v>
      </c>
      <c r="V10" t="str">
        <v>Feb</v>
      </c>
      <c r="W10">
        <v>2019</v>
      </c>
    </row>
    <row r="11" spans="1:23" hidden="1" x14ac:dyDescent="0.3">
      <c r="A11" t="s">
        <v>3</v>
      </c>
      <c r="B11" t="s">
        <v>41</v>
      </c>
      <c r="C11" t="s">
        <v>8</v>
      </c>
      <c r="D11" t="s">
        <v>28</v>
      </c>
      <c r="E11" s="1">
        <v>1545</v>
      </c>
      <c r="F11" s="1">
        <v>12</v>
      </c>
      <c r="G11" s="1">
        <v>18540</v>
      </c>
      <c r="H11" s="1">
        <v>18540</v>
      </c>
      <c r="I11" s="1">
        <v>13905</v>
      </c>
      <c r="J11" t="s">
        <v>25</v>
      </c>
      <c r="K11">
        <v>2019</v>
      </c>
      <c r="M11" t="str">
        <v>Channel Partners</v>
      </c>
      <c r="N11" t="str">
        <v>Canada</v>
      </c>
      <c r="O11" t="str">
        <v>Paseo</v>
      </c>
      <c r="P11" t="str">
        <v>None</v>
      </c>
      <c r="Q11">
        <v>2518</v>
      </c>
      <c r="R11">
        <v>12</v>
      </c>
      <c r="S11">
        <v>30216</v>
      </c>
      <c r="T11">
        <v>30216</v>
      </c>
      <c r="U11">
        <v>22662</v>
      </c>
      <c r="V11" t="str">
        <v>Jun</v>
      </c>
      <c r="W11">
        <v>2019</v>
      </c>
    </row>
    <row r="12" spans="1:23" hidden="1" x14ac:dyDescent="0.3">
      <c r="A12" t="s">
        <v>18</v>
      </c>
      <c r="B12" t="s">
        <v>9</v>
      </c>
      <c r="C12" t="s">
        <v>8</v>
      </c>
      <c r="D12" t="s">
        <v>28</v>
      </c>
      <c r="E12" s="1">
        <v>2470</v>
      </c>
      <c r="F12" s="1">
        <v>15</v>
      </c>
      <c r="G12" s="1">
        <v>37050</v>
      </c>
      <c r="H12" s="1">
        <v>37050</v>
      </c>
      <c r="I12" s="1">
        <v>12350</v>
      </c>
      <c r="J12" t="s">
        <v>25</v>
      </c>
      <c r="K12">
        <v>2019</v>
      </c>
      <c r="M12" t="str">
        <v>Government</v>
      </c>
      <c r="N12" t="str">
        <v>Canada</v>
      </c>
      <c r="O12" t="str">
        <v>Paseo</v>
      </c>
      <c r="P12" t="str">
        <v>None</v>
      </c>
      <c r="Q12">
        <v>1725</v>
      </c>
      <c r="R12">
        <v>350</v>
      </c>
      <c r="S12">
        <v>603750</v>
      </c>
      <c r="T12">
        <v>603750</v>
      </c>
      <c r="U12">
        <v>155250</v>
      </c>
      <c r="V12" t="str">
        <v>Nov</v>
      </c>
      <c r="W12">
        <v>2018</v>
      </c>
    </row>
    <row r="13" spans="1:23" hidden="1" x14ac:dyDescent="0.3">
      <c r="A13" t="s">
        <v>17</v>
      </c>
      <c r="B13" t="s">
        <v>40</v>
      </c>
      <c r="C13" t="s">
        <v>8</v>
      </c>
      <c r="D13" t="s">
        <v>28</v>
      </c>
      <c r="E13" s="1">
        <v>2665.5</v>
      </c>
      <c r="F13" s="1">
        <v>125</v>
      </c>
      <c r="G13" s="1">
        <v>333187.5</v>
      </c>
      <c r="H13" s="1">
        <v>333187.5</v>
      </c>
      <c r="I13" s="1">
        <v>13327.5</v>
      </c>
      <c r="J13" t="s">
        <v>19</v>
      </c>
      <c r="K13">
        <v>2019</v>
      </c>
      <c r="M13" t="str">
        <v>Midmarket</v>
      </c>
      <c r="N13" t="str">
        <v>Canada</v>
      </c>
      <c r="O13" t="str">
        <v>Paseo</v>
      </c>
      <c r="P13" t="str">
        <v>None</v>
      </c>
      <c r="Q13">
        <v>2152</v>
      </c>
      <c r="R13">
        <v>15</v>
      </c>
      <c r="S13">
        <v>32280</v>
      </c>
      <c r="T13">
        <v>32280</v>
      </c>
      <c r="U13">
        <v>10760</v>
      </c>
      <c r="V13" t="str">
        <v>Dec</v>
      </c>
      <c r="W13">
        <v>2018</v>
      </c>
    </row>
    <row r="14" spans="1:23" hidden="1" x14ac:dyDescent="0.3">
      <c r="A14" t="s">
        <v>12</v>
      </c>
      <c r="B14" t="s">
        <v>9</v>
      </c>
      <c r="C14" t="s">
        <v>8</v>
      </c>
      <c r="D14" t="s">
        <v>28</v>
      </c>
      <c r="E14" s="1">
        <v>958</v>
      </c>
      <c r="F14" s="1">
        <v>300</v>
      </c>
      <c r="G14" s="1">
        <v>287400</v>
      </c>
      <c r="H14" s="1">
        <v>287400</v>
      </c>
      <c r="I14" s="1">
        <v>47900</v>
      </c>
      <c r="J14" t="s">
        <v>22</v>
      </c>
      <c r="K14">
        <v>2019</v>
      </c>
      <c r="M14" t="str">
        <v>Government</v>
      </c>
      <c r="N14" t="str">
        <v>Canada</v>
      </c>
      <c r="O14" t="str">
        <v>Paseo</v>
      </c>
      <c r="P14" t="str">
        <v>None</v>
      </c>
      <c r="Q14">
        <v>1817</v>
      </c>
      <c r="R14">
        <v>20</v>
      </c>
      <c r="S14">
        <v>36340</v>
      </c>
      <c r="T14">
        <v>36340</v>
      </c>
      <c r="U14">
        <v>18170</v>
      </c>
      <c r="V14" t="str">
        <v>Dec</v>
      </c>
      <c r="W14">
        <v>2019</v>
      </c>
    </row>
    <row r="15" spans="1:23" hidden="1" x14ac:dyDescent="0.3">
      <c r="A15" t="s">
        <v>6</v>
      </c>
      <c r="B15" t="s">
        <v>41</v>
      </c>
      <c r="C15" t="s">
        <v>8</v>
      </c>
      <c r="D15" t="s">
        <v>28</v>
      </c>
      <c r="E15" s="1">
        <v>2146</v>
      </c>
      <c r="F15" s="1">
        <v>7</v>
      </c>
      <c r="G15" s="1">
        <v>15022</v>
      </c>
      <c r="H15" s="1">
        <v>15022</v>
      </c>
      <c r="I15" s="1">
        <v>4292</v>
      </c>
      <c r="J15" t="s">
        <v>21</v>
      </c>
      <c r="K15">
        <v>2019</v>
      </c>
      <c r="M15" t="str">
        <v>Government</v>
      </c>
      <c r="N15" t="str">
        <v>Canada</v>
      </c>
      <c r="O15" t="str">
        <v>Paseo</v>
      </c>
      <c r="P15" t="str">
        <v>None</v>
      </c>
      <c r="Q15">
        <v>1817</v>
      </c>
      <c r="R15">
        <v>20</v>
      </c>
      <c r="S15">
        <v>36340</v>
      </c>
      <c r="T15">
        <v>36340</v>
      </c>
      <c r="U15">
        <v>18170</v>
      </c>
      <c r="V15" t="str">
        <v>Dec</v>
      </c>
      <c r="W15">
        <v>2019</v>
      </c>
    </row>
    <row r="16" spans="1:23" hidden="1" x14ac:dyDescent="0.3">
      <c r="A16" t="s">
        <v>17</v>
      </c>
      <c r="B16" t="s">
        <v>40</v>
      </c>
      <c r="C16" t="s">
        <v>8</v>
      </c>
      <c r="D16" t="s">
        <v>28</v>
      </c>
      <c r="E16" s="1">
        <v>345</v>
      </c>
      <c r="F16" s="1">
        <v>125</v>
      </c>
      <c r="G16" s="1">
        <v>43125</v>
      </c>
      <c r="H16" s="1">
        <v>43125</v>
      </c>
      <c r="I16" s="1">
        <v>1725</v>
      </c>
      <c r="J16" t="s">
        <v>10</v>
      </c>
      <c r="K16">
        <v>2018</v>
      </c>
      <c r="M16" t="str">
        <v>Enterprise</v>
      </c>
      <c r="N16" t="str">
        <v>Canada</v>
      </c>
      <c r="O16" t="str">
        <v>Velo</v>
      </c>
      <c r="P16" t="str">
        <v>None</v>
      </c>
      <c r="Q16">
        <v>345</v>
      </c>
      <c r="R16">
        <v>125</v>
      </c>
      <c r="S16">
        <v>43125</v>
      </c>
      <c r="T16">
        <v>43125</v>
      </c>
      <c r="U16">
        <v>1725</v>
      </c>
      <c r="V16" t="str">
        <v>Oct</v>
      </c>
      <c r="W16">
        <v>2018</v>
      </c>
    </row>
    <row r="17" spans="1:23" hidden="1" x14ac:dyDescent="0.3">
      <c r="A17" t="s">
        <v>18</v>
      </c>
      <c r="B17" t="s">
        <v>42</v>
      </c>
      <c r="C17" t="s">
        <v>8</v>
      </c>
      <c r="D17" t="s">
        <v>28</v>
      </c>
      <c r="E17" s="1">
        <v>615</v>
      </c>
      <c r="F17" s="1">
        <v>15</v>
      </c>
      <c r="G17" s="1">
        <v>9225</v>
      </c>
      <c r="H17" s="1">
        <v>9225</v>
      </c>
      <c r="I17" s="1">
        <v>3075</v>
      </c>
      <c r="J17" t="s">
        <v>15</v>
      </c>
      <c r="K17">
        <v>2019</v>
      </c>
      <c r="M17" t="str">
        <v>Small Business</v>
      </c>
      <c r="N17" t="str">
        <v>Canada</v>
      </c>
      <c r="O17" t="str">
        <v>VTT</v>
      </c>
      <c r="P17" t="str">
        <v>None</v>
      </c>
      <c r="Q17">
        <v>2001</v>
      </c>
      <c r="R17">
        <v>300</v>
      </c>
      <c r="S17">
        <v>600300</v>
      </c>
      <c r="T17">
        <v>600300</v>
      </c>
      <c r="U17">
        <v>100050</v>
      </c>
      <c r="V17" t="str">
        <v>Feb</v>
      </c>
      <c r="W17">
        <v>2019</v>
      </c>
    </row>
    <row r="18" spans="1:23" hidden="1" x14ac:dyDescent="0.3">
      <c r="A18" t="s">
        <v>6</v>
      </c>
      <c r="B18" t="s">
        <v>40</v>
      </c>
      <c r="C18" t="s">
        <v>5</v>
      </c>
      <c r="D18" t="s">
        <v>28</v>
      </c>
      <c r="E18" s="1">
        <v>292</v>
      </c>
      <c r="F18" s="1">
        <v>20</v>
      </c>
      <c r="G18" s="1">
        <v>5840</v>
      </c>
      <c r="H18" s="1">
        <v>5840</v>
      </c>
      <c r="I18" s="1">
        <v>2920</v>
      </c>
      <c r="J18" t="s">
        <v>7</v>
      </c>
      <c r="K18">
        <v>2019</v>
      </c>
      <c r="M18" t="str">
        <v>Small Business</v>
      </c>
      <c r="N18" t="str">
        <v>Canada</v>
      </c>
      <c r="O18" t="str">
        <v>VTT</v>
      </c>
      <c r="P18" t="str">
        <v>None</v>
      </c>
      <c r="Q18">
        <v>2001</v>
      </c>
      <c r="R18">
        <v>300</v>
      </c>
      <c r="S18">
        <v>600300</v>
      </c>
      <c r="T18">
        <v>600300</v>
      </c>
      <c r="U18">
        <v>100050</v>
      </c>
      <c r="V18" t="str">
        <v>Feb</v>
      </c>
      <c r="W18">
        <v>2019</v>
      </c>
    </row>
    <row r="19" spans="1:23" hidden="1" x14ac:dyDescent="0.3">
      <c r="A19" t="s">
        <v>18</v>
      </c>
      <c r="B19" t="s">
        <v>9</v>
      </c>
      <c r="C19" t="s">
        <v>5</v>
      </c>
      <c r="D19" t="s">
        <v>28</v>
      </c>
      <c r="E19" s="1">
        <v>974</v>
      </c>
      <c r="F19" s="1">
        <v>15</v>
      </c>
      <c r="G19" s="1">
        <v>14610</v>
      </c>
      <c r="H19" s="1">
        <v>14610</v>
      </c>
      <c r="I19" s="1">
        <v>4870</v>
      </c>
      <c r="J19" t="s">
        <v>7</v>
      </c>
      <c r="K19">
        <v>2019</v>
      </c>
      <c r="M19" t="str">
        <v>Government</v>
      </c>
      <c r="N19" t="str">
        <v>Canada</v>
      </c>
      <c r="O19" t="str">
        <v>VTT</v>
      </c>
      <c r="P19" t="str">
        <v>None</v>
      </c>
      <c r="Q19">
        <v>1817</v>
      </c>
      <c r="R19">
        <v>20</v>
      </c>
      <c r="S19">
        <v>36340</v>
      </c>
      <c r="T19">
        <v>36340</v>
      </c>
      <c r="U19">
        <v>18170</v>
      </c>
      <c r="V19" t="str">
        <v>Dec</v>
      </c>
      <c r="W19">
        <v>2019</v>
      </c>
    </row>
    <row r="20" spans="1:23" x14ac:dyDescent="0.3">
      <c r="A20" t="s">
        <v>3</v>
      </c>
      <c r="B20" t="s">
        <v>40</v>
      </c>
      <c r="C20" t="s">
        <v>5</v>
      </c>
      <c r="D20" t="s">
        <v>28</v>
      </c>
      <c r="E20" s="1">
        <v>2518</v>
      </c>
      <c r="F20" s="1">
        <v>12</v>
      </c>
      <c r="G20" s="1">
        <v>30216</v>
      </c>
      <c r="H20" s="1">
        <v>30216</v>
      </c>
      <c r="I20" s="1">
        <v>22662</v>
      </c>
      <c r="J20" t="s">
        <v>25</v>
      </c>
      <c r="K20">
        <v>2019</v>
      </c>
      <c r="M20" t="str">
        <v>Government</v>
      </c>
      <c r="N20" t="str">
        <v>Canada</v>
      </c>
      <c r="O20" t="str">
        <v>VTT</v>
      </c>
      <c r="P20" t="str">
        <v>Low</v>
      </c>
      <c r="Q20">
        <v>1326</v>
      </c>
      <c r="R20">
        <v>7</v>
      </c>
      <c r="S20">
        <v>9282</v>
      </c>
      <c r="T20">
        <v>9189.18</v>
      </c>
      <c r="U20">
        <v>2559.1800000000003</v>
      </c>
      <c r="V20" t="str">
        <v>Mar</v>
      </c>
      <c r="W20">
        <v>2019</v>
      </c>
    </row>
    <row r="21" spans="1:23" hidden="1" x14ac:dyDescent="0.3">
      <c r="A21" t="s">
        <v>6</v>
      </c>
      <c r="B21" t="s">
        <v>41</v>
      </c>
      <c r="C21" t="s">
        <v>5</v>
      </c>
      <c r="D21" t="s">
        <v>28</v>
      </c>
      <c r="E21" s="1">
        <v>1006</v>
      </c>
      <c r="F21" s="1">
        <v>350</v>
      </c>
      <c r="G21" s="1">
        <v>352100</v>
      </c>
      <c r="H21" s="1">
        <v>352100</v>
      </c>
      <c r="I21" s="1">
        <v>90540</v>
      </c>
      <c r="J21" t="s">
        <v>25</v>
      </c>
      <c r="K21">
        <v>2019</v>
      </c>
      <c r="M21" t="str">
        <v>Channel Partners</v>
      </c>
      <c r="N21" t="str">
        <v>Canada</v>
      </c>
      <c r="O21" t="str">
        <v>Carretera</v>
      </c>
      <c r="P21" t="str">
        <v>Low</v>
      </c>
      <c r="Q21">
        <v>1445</v>
      </c>
      <c r="R21">
        <v>12</v>
      </c>
      <c r="S21">
        <v>17340</v>
      </c>
      <c r="T21">
        <v>17166.599999999999</v>
      </c>
      <c r="U21">
        <v>12831.599999999999</v>
      </c>
      <c r="V21" t="str">
        <v>Sep</v>
      </c>
      <c r="W21">
        <v>2019</v>
      </c>
    </row>
    <row r="22" spans="1:23" hidden="1" x14ac:dyDescent="0.3">
      <c r="A22" t="s">
        <v>3</v>
      </c>
      <c r="B22" t="s">
        <v>41</v>
      </c>
      <c r="C22" t="s">
        <v>5</v>
      </c>
      <c r="D22" t="s">
        <v>28</v>
      </c>
      <c r="E22" s="1">
        <v>367</v>
      </c>
      <c r="F22" s="1">
        <v>12</v>
      </c>
      <c r="G22" s="1">
        <v>4404</v>
      </c>
      <c r="H22" s="1">
        <v>4404</v>
      </c>
      <c r="I22" s="1">
        <v>3303</v>
      </c>
      <c r="J22" t="s">
        <v>19</v>
      </c>
      <c r="K22">
        <v>2019</v>
      </c>
      <c r="M22" t="str">
        <v>Government</v>
      </c>
      <c r="N22" t="str">
        <v>Canada</v>
      </c>
      <c r="O22" t="str">
        <v>Montana</v>
      </c>
      <c r="P22" t="str">
        <v>Low</v>
      </c>
      <c r="Q22">
        <v>1830</v>
      </c>
      <c r="R22">
        <v>7</v>
      </c>
      <c r="S22">
        <v>12810</v>
      </c>
      <c r="T22">
        <v>12681.9</v>
      </c>
      <c r="U22">
        <v>3531.8999999999996</v>
      </c>
      <c r="V22" t="str">
        <v>Aug</v>
      </c>
      <c r="W22">
        <v>2019</v>
      </c>
    </row>
    <row r="23" spans="1:23" hidden="1" x14ac:dyDescent="0.3">
      <c r="A23" t="s">
        <v>6</v>
      </c>
      <c r="B23" t="s">
        <v>9</v>
      </c>
      <c r="C23" t="s">
        <v>5</v>
      </c>
      <c r="D23" t="s">
        <v>28</v>
      </c>
      <c r="E23" s="1">
        <v>883</v>
      </c>
      <c r="F23" s="1">
        <v>7</v>
      </c>
      <c r="G23" s="1">
        <v>6181</v>
      </c>
      <c r="H23" s="1">
        <v>6181</v>
      </c>
      <c r="I23" s="1">
        <v>1766</v>
      </c>
      <c r="J23" t="s">
        <v>22</v>
      </c>
      <c r="K23">
        <v>2019</v>
      </c>
      <c r="M23" t="str">
        <v>Enterprise</v>
      </c>
      <c r="N23" t="str">
        <v>Canada</v>
      </c>
      <c r="O23" t="str">
        <v>Velo</v>
      </c>
      <c r="P23" t="str">
        <v>Low</v>
      </c>
      <c r="Q23">
        <v>923</v>
      </c>
      <c r="R23">
        <v>125</v>
      </c>
      <c r="S23">
        <v>115375</v>
      </c>
      <c r="T23">
        <v>114221.25</v>
      </c>
      <c r="U23">
        <v>3461.25</v>
      </c>
      <c r="V23" t="str">
        <v>Aug</v>
      </c>
      <c r="W23">
        <v>2019</v>
      </c>
    </row>
    <row r="24" spans="1:23" hidden="1" x14ac:dyDescent="0.3">
      <c r="A24" t="s">
        <v>18</v>
      </c>
      <c r="B24" t="s">
        <v>14</v>
      </c>
      <c r="C24" t="s">
        <v>5</v>
      </c>
      <c r="D24" t="s">
        <v>28</v>
      </c>
      <c r="E24" s="1">
        <v>549</v>
      </c>
      <c r="F24" s="1">
        <v>15</v>
      </c>
      <c r="G24" s="1">
        <v>8235</v>
      </c>
      <c r="H24" s="1">
        <v>8235</v>
      </c>
      <c r="I24" s="1">
        <v>2745</v>
      </c>
      <c r="J24" t="s">
        <v>21</v>
      </c>
      <c r="K24">
        <v>2018</v>
      </c>
      <c r="M24" t="str">
        <v>Government</v>
      </c>
      <c r="N24" t="str">
        <v>Canada</v>
      </c>
      <c r="O24" t="str">
        <v>Velo</v>
      </c>
      <c r="P24" t="str">
        <v>Low</v>
      </c>
      <c r="Q24">
        <v>2092</v>
      </c>
      <c r="R24">
        <v>7</v>
      </c>
      <c r="S24">
        <v>14644</v>
      </c>
      <c r="T24">
        <v>14497.56</v>
      </c>
      <c r="U24">
        <v>4037.5599999999995</v>
      </c>
      <c r="V24" t="str">
        <v>Nov</v>
      </c>
      <c r="W24">
        <v>2018</v>
      </c>
    </row>
    <row r="25" spans="1:23" hidden="1" x14ac:dyDescent="0.3">
      <c r="A25" t="s">
        <v>12</v>
      </c>
      <c r="B25" t="s">
        <v>9</v>
      </c>
      <c r="C25" t="s">
        <v>5</v>
      </c>
      <c r="D25" t="s">
        <v>28</v>
      </c>
      <c r="E25" s="1">
        <v>788</v>
      </c>
      <c r="F25" s="1">
        <v>300</v>
      </c>
      <c r="G25" s="1">
        <v>236400</v>
      </c>
      <c r="H25" s="1">
        <v>236400</v>
      </c>
      <c r="I25" s="1">
        <v>39400</v>
      </c>
      <c r="J25" t="s">
        <v>21</v>
      </c>
      <c r="K25">
        <v>2018</v>
      </c>
      <c r="M25" t="str">
        <v>Government</v>
      </c>
      <c r="N25" t="str">
        <v>Canada</v>
      </c>
      <c r="O25" t="str">
        <v>VTT</v>
      </c>
      <c r="P25" t="str">
        <v>Low</v>
      </c>
      <c r="Q25">
        <v>943.5</v>
      </c>
      <c r="R25">
        <v>350</v>
      </c>
      <c r="S25">
        <v>330225</v>
      </c>
      <c r="T25">
        <v>326922.75</v>
      </c>
      <c r="U25">
        <v>81612.75</v>
      </c>
      <c r="V25" t="str">
        <v>Apr</v>
      </c>
      <c r="W25">
        <v>2019</v>
      </c>
    </row>
    <row r="26" spans="1:23" hidden="1" x14ac:dyDescent="0.3">
      <c r="A26" t="s">
        <v>18</v>
      </c>
      <c r="B26" t="s">
        <v>9</v>
      </c>
      <c r="C26" t="s">
        <v>5</v>
      </c>
      <c r="D26" t="s">
        <v>28</v>
      </c>
      <c r="E26" s="1">
        <v>2472</v>
      </c>
      <c r="F26" s="1">
        <v>15</v>
      </c>
      <c r="G26" s="1">
        <v>37080</v>
      </c>
      <c r="H26" s="1">
        <v>37080</v>
      </c>
      <c r="I26" s="1">
        <v>12360</v>
      </c>
      <c r="J26" t="s">
        <v>21</v>
      </c>
      <c r="K26">
        <v>2019</v>
      </c>
      <c r="M26" t="str">
        <v>Enterprise</v>
      </c>
      <c r="N26" t="str">
        <v>Canada</v>
      </c>
      <c r="O26" t="str">
        <v>Carretera</v>
      </c>
      <c r="P26" t="str">
        <v>Low</v>
      </c>
      <c r="Q26">
        <v>742.5</v>
      </c>
      <c r="R26">
        <v>125</v>
      </c>
      <c r="S26">
        <v>92812.5</v>
      </c>
      <c r="T26">
        <v>90956.25</v>
      </c>
      <c r="U26">
        <v>1856.25</v>
      </c>
      <c r="V26" t="str">
        <v>Apr</v>
      </c>
      <c r="W26">
        <v>2019</v>
      </c>
    </row>
    <row r="27" spans="1:23" hidden="1" x14ac:dyDescent="0.3">
      <c r="A27" t="s">
        <v>6</v>
      </c>
      <c r="B27" t="s">
        <v>42</v>
      </c>
      <c r="C27" t="s">
        <v>5</v>
      </c>
      <c r="D27" t="s">
        <v>28</v>
      </c>
      <c r="E27" s="1">
        <v>1143</v>
      </c>
      <c r="F27" s="1">
        <v>7</v>
      </c>
      <c r="G27" s="1">
        <v>8001</v>
      </c>
      <c r="H27" s="1">
        <v>8001</v>
      </c>
      <c r="I27" s="1">
        <v>2286</v>
      </c>
      <c r="J27" t="s">
        <v>10</v>
      </c>
      <c r="K27">
        <v>2019</v>
      </c>
      <c r="M27" t="str">
        <v>Channel Partners</v>
      </c>
      <c r="N27" t="str">
        <v>Canada</v>
      </c>
      <c r="O27" t="str">
        <v>Carretera</v>
      </c>
      <c r="P27" t="str">
        <v>Low</v>
      </c>
      <c r="Q27">
        <v>1295</v>
      </c>
      <c r="R27">
        <v>12</v>
      </c>
      <c r="S27">
        <v>15540</v>
      </c>
      <c r="T27">
        <v>15229.2</v>
      </c>
      <c r="U27">
        <v>11344.2</v>
      </c>
      <c r="V27" t="str">
        <v>Oct</v>
      </c>
      <c r="W27">
        <v>2019</v>
      </c>
    </row>
    <row r="28" spans="1:23" hidden="1" x14ac:dyDescent="0.3">
      <c r="A28" t="s">
        <v>6</v>
      </c>
      <c r="B28" t="s">
        <v>40</v>
      </c>
      <c r="C28" t="s">
        <v>5</v>
      </c>
      <c r="D28" t="s">
        <v>28</v>
      </c>
      <c r="E28" s="1">
        <v>1725</v>
      </c>
      <c r="F28" s="1">
        <v>350</v>
      </c>
      <c r="G28" s="1">
        <v>603750</v>
      </c>
      <c r="H28" s="1">
        <v>603750</v>
      </c>
      <c r="I28" s="1">
        <v>155250</v>
      </c>
      <c r="J28" t="s">
        <v>16</v>
      </c>
      <c r="K28">
        <v>2018</v>
      </c>
      <c r="M28" t="str">
        <v>Government</v>
      </c>
      <c r="N28" t="str">
        <v>Canada</v>
      </c>
      <c r="O28" t="str">
        <v>Carretera</v>
      </c>
      <c r="P28" t="str">
        <v>Low</v>
      </c>
      <c r="Q28">
        <v>2852</v>
      </c>
      <c r="R28">
        <v>350</v>
      </c>
      <c r="S28">
        <v>998200</v>
      </c>
      <c r="T28">
        <v>978236</v>
      </c>
      <c r="U28">
        <v>236716</v>
      </c>
      <c r="V28" t="str">
        <v>Dec</v>
      </c>
      <c r="W28">
        <v>2019</v>
      </c>
    </row>
    <row r="29" spans="1:23" hidden="1" x14ac:dyDescent="0.3">
      <c r="A29" t="s">
        <v>3</v>
      </c>
      <c r="B29" t="s">
        <v>42</v>
      </c>
      <c r="C29" t="s">
        <v>5</v>
      </c>
      <c r="D29" t="s">
        <v>28</v>
      </c>
      <c r="E29" s="1">
        <v>912</v>
      </c>
      <c r="F29" s="1">
        <v>12</v>
      </c>
      <c r="G29" s="1">
        <v>10944</v>
      </c>
      <c r="H29" s="1">
        <v>10944</v>
      </c>
      <c r="I29" s="1">
        <v>8208</v>
      </c>
      <c r="J29" t="s">
        <v>16</v>
      </c>
      <c r="K29">
        <v>2018</v>
      </c>
      <c r="M29" t="str">
        <v>Midmarket</v>
      </c>
      <c r="N29" t="str">
        <v>Canada</v>
      </c>
      <c r="O29" t="str">
        <v>Paseo</v>
      </c>
      <c r="P29" t="str">
        <v>Low</v>
      </c>
      <c r="Q29">
        <v>2363</v>
      </c>
      <c r="R29">
        <v>15</v>
      </c>
      <c r="S29">
        <v>35445</v>
      </c>
      <c r="T29">
        <v>34736.1</v>
      </c>
      <c r="U29">
        <v>11106.099999999999</v>
      </c>
      <c r="V29" t="str">
        <v>Feb</v>
      </c>
      <c r="W29">
        <v>2019</v>
      </c>
    </row>
    <row r="30" spans="1:23" hidden="1" x14ac:dyDescent="0.3">
      <c r="A30" t="s">
        <v>18</v>
      </c>
      <c r="B30" t="s">
        <v>40</v>
      </c>
      <c r="C30" t="s">
        <v>5</v>
      </c>
      <c r="D30" t="s">
        <v>28</v>
      </c>
      <c r="E30" s="1">
        <v>2152</v>
      </c>
      <c r="F30" s="1">
        <v>15</v>
      </c>
      <c r="G30" s="1">
        <v>32280</v>
      </c>
      <c r="H30" s="1">
        <v>32280</v>
      </c>
      <c r="I30" s="1">
        <v>10760</v>
      </c>
      <c r="J30" t="s">
        <v>15</v>
      </c>
      <c r="K30">
        <v>2018</v>
      </c>
      <c r="M30" t="str">
        <v>Channel Partners</v>
      </c>
      <c r="N30" t="str">
        <v>Canada</v>
      </c>
      <c r="O30" t="str">
        <v>Paseo</v>
      </c>
      <c r="P30" t="str">
        <v>Low</v>
      </c>
      <c r="Q30">
        <v>1295</v>
      </c>
      <c r="R30">
        <v>12</v>
      </c>
      <c r="S30">
        <v>15540</v>
      </c>
      <c r="T30">
        <v>15229.2</v>
      </c>
      <c r="U30">
        <v>11344.2</v>
      </c>
      <c r="V30" t="str">
        <v>Oct</v>
      </c>
      <c r="W30">
        <v>2019</v>
      </c>
    </row>
    <row r="31" spans="1:23" hidden="1" x14ac:dyDescent="0.3">
      <c r="A31" t="s">
        <v>6</v>
      </c>
      <c r="B31" t="s">
        <v>40</v>
      </c>
      <c r="C31" t="s">
        <v>5</v>
      </c>
      <c r="D31" t="s">
        <v>28</v>
      </c>
      <c r="E31" s="1">
        <v>1817</v>
      </c>
      <c r="F31" s="1">
        <v>20</v>
      </c>
      <c r="G31" s="1">
        <v>36340</v>
      </c>
      <c r="H31" s="1">
        <v>36340</v>
      </c>
      <c r="I31" s="1">
        <v>18170</v>
      </c>
      <c r="J31" t="s">
        <v>15</v>
      </c>
      <c r="K31">
        <v>2019</v>
      </c>
      <c r="M31" t="str">
        <v>Small Business</v>
      </c>
      <c r="N31" t="str">
        <v>Canada</v>
      </c>
      <c r="O31" t="str">
        <v>Paseo</v>
      </c>
      <c r="P31" t="str">
        <v>Low</v>
      </c>
      <c r="Q31">
        <v>1916</v>
      </c>
      <c r="R31">
        <v>300</v>
      </c>
      <c r="S31">
        <v>574800</v>
      </c>
      <c r="T31">
        <v>563304</v>
      </c>
      <c r="U31">
        <v>84304</v>
      </c>
      <c r="V31" t="str">
        <v>Dec</v>
      </c>
      <c r="W31">
        <v>2019</v>
      </c>
    </row>
    <row r="32" spans="1:23" hidden="1" x14ac:dyDescent="0.3">
      <c r="A32" t="s">
        <v>6</v>
      </c>
      <c r="B32" t="s">
        <v>40</v>
      </c>
      <c r="C32" t="s">
        <v>5</v>
      </c>
      <c r="D32" t="s">
        <v>28</v>
      </c>
      <c r="E32" s="1">
        <v>1817</v>
      </c>
      <c r="F32" s="1">
        <v>20</v>
      </c>
      <c r="G32" s="1">
        <v>36340</v>
      </c>
      <c r="H32" s="1">
        <v>36340</v>
      </c>
      <c r="I32" s="1">
        <v>18170</v>
      </c>
      <c r="J32" t="s">
        <v>15</v>
      </c>
      <c r="K32">
        <v>2019</v>
      </c>
      <c r="M32" t="str">
        <v>Government</v>
      </c>
      <c r="N32" t="str">
        <v>Canada</v>
      </c>
      <c r="O32" t="str">
        <v>Paseo</v>
      </c>
      <c r="P32" t="str">
        <v>Low</v>
      </c>
      <c r="Q32">
        <v>2852</v>
      </c>
      <c r="R32">
        <v>350</v>
      </c>
      <c r="S32">
        <v>998200</v>
      </c>
      <c r="T32">
        <v>978236</v>
      </c>
      <c r="U32">
        <v>236716</v>
      </c>
      <c r="V32" t="str">
        <v>Dec</v>
      </c>
      <c r="W32">
        <v>2019</v>
      </c>
    </row>
    <row r="33" spans="1:23" hidden="1" x14ac:dyDescent="0.3">
      <c r="A33" t="s">
        <v>6</v>
      </c>
      <c r="B33" t="s">
        <v>41</v>
      </c>
      <c r="C33" t="s">
        <v>5</v>
      </c>
      <c r="D33" t="s">
        <v>28</v>
      </c>
      <c r="E33" s="1">
        <v>1513</v>
      </c>
      <c r="F33" s="1">
        <v>350</v>
      </c>
      <c r="G33" s="1">
        <v>529550</v>
      </c>
      <c r="H33" s="1">
        <v>529550</v>
      </c>
      <c r="I33" s="1">
        <v>136170</v>
      </c>
      <c r="J33" t="s">
        <v>15</v>
      </c>
      <c r="K33">
        <v>2019</v>
      </c>
      <c r="M33" t="str">
        <v>Enterprise</v>
      </c>
      <c r="N33" t="str">
        <v>Canada</v>
      </c>
      <c r="O33" t="str">
        <v>Paseo</v>
      </c>
      <c r="P33" t="str">
        <v>Low</v>
      </c>
      <c r="Q33">
        <v>2729</v>
      </c>
      <c r="R33">
        <v>125</v>
      </c>
      <c r="S33">
        <v>341125</v>
      </c>
      <c r="T33">
        <v>334302.5</v>
      </c>
      <c r="U33">
        <v>6822.5</v>
      </c>
      <c r="V33" t="str">
        <v>Dec</v>
      </c>
      <c r="W33">
        <v>2019</v>
      </c>
    </row>
    <row r="34" spans="1:23" hidden="1" x14ac:dyDescent="0.3">
      <c r="A34" t="s">
        <v>6</v>
      </c>
      <c r="B34" t="s">
        <v>9</v>
      </c>
      <c r="C34" t="s">
        <v>20</v>
      </c>
      <c r="D34" t="s">
        <v>28</v>
      </c>
      <c r="E34" s="1">
        <v>1493</v>
      </c>
      <c r="F34" s="1">
        <v>7</v>
      </c>
      <c r="G34" s="1">
        <v>10451</v>
      </c>
      <c r="H34" s="1">
        <v>10451</v>
      </c>
      <c r="I34" s="1">
        <v>2986</v>
      </c>
      <c r="J34" t="s">
        <v>24</v>
      </c>
      <c r="K34">
        <v>2019</v>
      </c>
      <c r="M34" t="str">
        <v>Enterprise</v>
      </c>
      <c r="N34" t="str">
        <v>Canada</v>
      </c>
      <c r="O34" t="str">
        <v>VTT</v>
      </c>
      <c r="P34" t="str">
        <v>Low</v>
      </c>
      <c r="Q34">
        <v>2729</v>
      </c>
      <c r="R34">
        <v>125</v>
      </c>
      <c r="S34">
        <v>341125</v>
      </c>
      <c r="T34">
        <v>334302.5</v>
      </c>
      <c r="U34">
        <v>6822.5</v>
      </c>
      <c r="V34" t="str">
        <v>Dec</v>
      </c>
      <c r="W34">
        <v>2019</v>
      </c>
    </row>
    <row r="35" spans="1:23" hidden="1" x14ac:dyDescent="0.3">
      <c r="A35" t="s">
        <v>17</v>
      </c>
      <c r="B35" t="s">
        <v>14</v>
      </c>
      <c r="C35" t="s">
        <v>20</v>
      </c>
      <c r="D35" t="s">
        <v>28</v>
      </c>
      <c r="E35" s="1">
        <v>1804</v>
      </c>
      <c r="F35" s="1">
        <v>125</v>
      </c>
      <c r="G35" s="1">
        <v>225500</v>
      </c>
      <c r="H35" s="1">
        <v>225500</v>
      </c>
      <c r="I35" s="1">
        <v>9020</v>
      </c>
      <c r="J35" t="s">
        <v>7</v>
      </c>
      <c r="K35">
        <v>2019</v>
      </c>
      <c r="M35" t="str">
        <v>Small Business</v>
      </c>
      <c r="N35" t="str">
        <v>Canada</v>
      </c>
      <c r="O35" t="str">
        <v>Amarilla</v>
      </c>
      <c r="P35" t="str">
        <v>Low</v>
      </c>
      <c r="Q35">
        <v>1916</v>
      </c>
      <c r="R35">
        <v>300</v>
      </c>
      <c r="S35">
        <v>574800</v>
      </c>
      <c r="T35">
        <v>563304</v>
      </c>
      <c r="U35">
        <v>84304</v>
      </c>
      <c r="V35" t="str">
        <v>Dec</v>
      </c>
      <c r="W35">
        <v>2019</v>
      </c>
    </row>
    <row r="36" spans="1:23" hidden="1" x14ac:dyDescent="0.3">
      <c r="A36" t="s">
        <v>17</v>
      </c>
      <c r="B36" t="s">
        <v>14</v>
      </c>
      <c r="C36" t="s">
        <v>20</v>
      </c>
      <c r="D36" t="s">
        <v>28</v>
      </c>
      <c r="E36" s="1">
        <v>1804</v>
      </c>
      <c r="F36" s="1">
        <v>125</v>
      </c>
      <c r="G36" s="1">
        <v>225500</v>
      </c>
      <c r="H36" s="1">
        <v>225500</v>
      </c>
      <c r="I36" s="1">
        <v>9020</v>
      </c>
      <c r="J36" t="s">
        <v>7</v>
      </c>
      <c r="K36">
        <v>2019</v>
      </c>
      <c r="M36" t="str">
        <v>Channel Partners</v>
      </c>
      <c r="N36" t="str">
        <v>Canada</v>
      </c>
      <c r="O36" t="str">
        <v>Carretera</v>
      </c>
      <c r="P36" t="str">
        <v>Low</v>
      </c>
      <c r="Q36">
        <v>908</v>
      </c>
      <c r="R36">
        <v>12</v>
      </c>
      <c r="S36">
        <v>10896</v>
      </c>
      <c r="T36">
        <v>10569.12</v>
      </c>
      <c r="U36">
        <v>7845.1200000000008</v>
      </c>
      <c r="V36" t="str">
        <v>Dec</v>
      </c>
      <c r="W36">
        <v>2018</v>
      </c>
    </row>
    <row r="37" spans="1:23" hidden="1" x14ac:dyDescent="0.3">
      <c r="A37" t="s">
        <v>3</v>
      </c>
      <c r="B37" t="s">
        <v>41</v>
      </c>
      <c r="C37" t="s">
        <v>20</v>
      </c>
      <c r="D37" t="s">
        <v>28</v>
      </c>
      <c r="E37" s="1">
        <v>2161</v>
      </c>
      <c r="F37" s="1">
        <v>12</v>
      </c>
      <c r="G37" s="1">
        <v>25932</v>
      </c>
      <c r="H37" s="1">
        <v>25932</v>
      </c>
      <c r="I37" s="1">
        <v>19449</v>
      </c>
      <c r="J37" t="s">
        <v>13</v>
      </c>
      <c r="K37">
        <v>2019</v>
      </c>
      <c r="M37" t="str">
        <v>Enterprise</v>
      </c>
      <c r="N37" t="str">
        <v>Canada</v>
      </c>
      <c r="O37" t="str">
        <v>Paseo</v>
      </c>
      <c r="P37" t="str">
        <v>Low</v>
      </c>
      <c r="Q37">
        <v>1774</v>
      </c>
      <c r="R37">
        <v>125</v>
      </c>
      <c r="S37">
        <v>221750</v>
      </c>
      <c r="T37">
        <v>215097.5</v>
      </c>
      <c r="U37">
        <v>2217.5</v>
      </c>
      <c r="V37" t="str">
        <v>Mar</v>
      </c>
      <c r="W37">
        <v>2019</v>
      </c>
    </row>
    <row r="38" spans="1:23" hidden="1" x14ac:dyDescent="0.3">
      <c r="A38" t="s">
        <v>6</v>
      </c>
      <c r="B38" t="s">
        <v>41</v>
      </c>
      <c r="C38" t="s">
        <v>20</v>
      </c>
      <c r="D38" t="s">
        <v>28</v>
      </c>
      <c r="E38" s="1">
        <v>1006</v>
      </c>
      <c r="F38" s="1">
        <v>350</v>
      </c>
      <c r="G38" s="1">
        <v>352100</v>
      </c>
      <c r="H38" s="1">
        <v>352100</v>
      </c>
      <c r="I38" s="1">
        <v>90540</v>
      </c>
      <c r="J38" t="s">
        <v>25</v>
      </c>
      <c r="K38">
        <v>2019</v>
      </c>
      <c r="M38" t="str">
        <v>Enterprise</v>
      </c>
      <c r="N38" t="str">
        <v>Canada</v>
      </c>
      <c r="O38" t="str">
        <v>Paseo</v>
      </c>
      <c r="P38" t="str">
        <v>Low</v>
      </c>
      <c r="Q38">
        <v>2009</v>
      </c>
      <c r="R38">
        <v>125</v>
      </c>
      <c r="S38">
        <v>251125</v>
      </c>
      <c r="T38">
        <v>243591.25</v>
      </c>
      <c r="U38">
        <v>2511.25</v>
      </c>
      <c r="V38" t="str">
        <v>Oct</v>
      </c>
      <c r="W38">
        <v>2019</v>
      </c>
    </row>
    <row r="39" spans="1:23" hidden="1" x14ac:dyDescent="0.3">
      <c r="A39" t="s">
        <v>3</v>
      </c>
      <c r="B39" t="s">
        <v>41</v>
      </c>
      <c r="C39" t="s">
        <v>20</v>
      </c>
      <c r="D39" t="s">
        <v>28</v>
      </c>
      <c r="E39" s="1">
        <v>1545</v>
      </c>
      <c r="F39" s="1">
        <v>12</v>
      </c>
      <c r="G39" s="1">
        <v>18540</v>
      </c>
      <c r="H39" s="1">
        <v>18540</v>
      </c>
      <c r="I39" s="1">
        <v>13905</v>
      </c>
      <c r="J39" t="s">
        <v>25</v>
      </c>
      <c r="K39">
        <v>2019</v>
      </c>
      <c r="M39" t="str">
        <v>Enterprise</v>
      </c>
      <c r="N39" t="str">
        <v>Canada</v>
      </c>
      <c r="O39" t="str">
        <v>Velo</v>
      </c>
      <c r="P39" t="str">
        <v>Low</v>
      </c>
      <c r="Q39">
        <v>2009</v>
      </c>
      <c r="R39">
        <v>125</v>
      </c>
      <c r="S39">
        <v>251125</v>
      </c>
      <c r="T39">
        <v>243591.25</v>
      </c>
      <c r="U39">
        <v>2511.25</v>
      </c>
      <c r="V39" t="str">
        <v>Oct</v>
      </c>
      <c r="W39">
        <v>2019</v>
      </c>
    </row>
    <row r="40" spans="1:23" hidden="1" x14ac:dyDescent="0.3">
      <c r="A40" t="s">
        <v>17</v>
      </c>
      <c r="B40" t="s">
        <v>42</v>
      </c>
      <c r="C40" t="s">
        <v>20</v>
      </c>
      <c r="D40" t="s">
        <v>28</v>
      </c>
      <c r="E40" s="1">
        <v>2821</v>
      </c>
      <c r="F40" s="1">
        <v>125</v>
      </c>
      <c r="G40" s="1">
        <v>352625</v>
      </c>
      <c r="H40" s="1">
        <v>352625</v>
      </c>
      <c r="I40" s="1">
        <v>14105</v>
      </c>
      <c r="J40" t="s">
        <v>22</v>
      </c>
      <c r="K40">
        <v>2019</v>
      </c>
      <c r="M40" t="str">
        <v>Small Business</v>
      </c>
      <c r="N40" t="str">
        <v>Canada</v>
      </c>
      <c r="O40" t="str">
        <v>VTT</v>
      </c>
      <c r="P40" t="str">
        <v>Low</v>
      </c>
      <c r="Q40">
        <v>1874</v>
      </c>
      <c r="R40">
        <v>300</v>
      </c>
      <c r="S40">
        <v>562200</v>
      </c>
      <c r="T40">
        <v>545334</v>
      </c>
      <c r="U40">
        <v>76834</v>
      </c>
      <c r="V40" t="str">
        <v>Aug</v>
      </c>
      <c r="W40">
        <v>2019</v>
      </c>
    </row>
    <row r="41" spans="1:23" hidden="1" x14ac:dyDescent="0.3">
      <c r="A41" t="s">
        <v>17</v>
      </c>
      <c r="B41" t="s">
        <v>40</v>
      </c>
      <c r="C41" t="s">
        <v>20</v>
      </c>
      <c r="D41" t="s">
        <v>28</v>
      </c>
      <c r="E41" s="1">
        <v>345</v>
      </c>
      <c r="F41" s="1">
        <v>125</v>
      </c>
      <c r="G41" s="1">
        <v>43125</v>
      </c>
      <c r="H41" s="1">
        <v>43125</v>
      </c>
      <c r="I41" s="1">
        <v>1725</v>
      </c>
      <c r="J41" t="s">
        <v>10</v>
      </c>
      <c r="K41">
        <v>2018</v>
      </c>
      <c r="M41" t="str">
        <v>Government</v>
      </c>
      <c r="N41" t="str">
        <v>Canada</v>
      </c>
      <c r="O41" t="str">
        <v>Carretera</v>
      </c>
      <c r="P41" t="str">
        <v>Low</v>
      </c>
      <c r="Q41">
        <v>831</v>
      </c>
      <c r="R41">
        <v>20</v>
      </c>
      <c r="S41">
        <v>16620</v>
      </c>
      <c r="T41">
        <v>16121.4</v>
      </c>
      <c r="U41">
        <v>7811.4</v>
      </c>
      <c r="V41" t="str">
        <v>May</v>
      </c>
      <c r="W41">
        <v>2019</v>
      </c>
    </row>
    <row r="42" spans="1:23" hidden="1" x14ac:dyDescent="0.3">
      <c r="A42" t="s">
        <v>12</v>
      </c>
      <c r="B42" t="s">
        <v>40</v>
      </c>
      <c r="C42" t="s">
        <v>2</v>
      </c>
      <c r="D42" t="s">
        <v>28</v>
      </c>
      <c r="E42" s="1">
        <v>2001</v>
      </c>
      <c r="F42" s="1">
        <v>300</v>
      </c>
      <c r="G42" s="1">
        <v>600300</v>
      </c>
      <c r="H42" s="1">
        <v>600300</v>
      </c>
      <c r="I42" s="1">
        <v>100050</v>
      </c>
      <c r="J42" t="s">
        <v>7</v>
      </c>
      <c r="K42">
        <v>2019</v>
      </c>
      <c r="M42" t="str">
        <v>Government</v>
      </c>
      <c r="N42" t="str">
        <v>Canada</v>
      </c>
      <c r="O42" t="str">
        <v>Velo</v>
      </c>
      <c r="P42" t="str">
        <v>Low</v>
      </c>
      <c r="Q42">
        <v>3850.5</v>
      </c>
      <c r="R42">
        <v>20</v>
      </c>
      <c r="S42">
        <v>77010</v>
      </c>
      <c r="T42">
        <v>74699.700000000012</v>
      </c>
      <c r="U42">
        <v>36194.700000000004</v>
      </c>
      <c r="V42" t="str">
        <v>Apr</v>
      </c>
      <c r="W42">
        <v>2019</v>
      </c>
    </row>
    <row r="43" spans="1:23" hidden="1" x14ac:dyDescent="0.3">
      <c r="A43" t="s">
        <v>12</v>
      </c>
      <c r="B43" t="s">
        <v>40</v>
      </c>
      <c r="C43" t="s">
        <v>2</v>
      </c>
      <c r="D43" t="s">
        <v>28</v>
      </c>
      <c r="E43" s="1">
        <v>2001</v>
      </c>
      <c r="F43" s="1">
        <v>300</v>
      </c>
      <c r="G43" s="1">
        <v>600300</v>
      </c>
      <c r="H43" s="1">
        <v>600300</v>
      </c>
      <c r="I43" s="1">
        <v>100050</v>
      </c>
      <c r="J43" t="s">
        <v>7</v>
      </c>
      <c r="K43">
        <v>2019</v>
      </c>
      <c r="M43" t="str">
        <v>Government</v>
      </c>
      <c r="N43" t="str">
        <v>Canada</v>
      </c>
      <c r="O43" t="str">
        <v>Carretera</v>
      </c>
      <c r="P43" t="str">
        <v>Low</v>
      </c>
      <c r="Q43">
        <v>2851</v>
      </c>
      <c r="R43">
        <v>7</v>
      </c>
      <c r="S43">
        <v>19957</v>
      </c>
      <c r="T43">
        <v>19158.72</v>
      </c>
      <c r="U43">
        <v>4903.7200000000012</v>
      </c>
      <c r="V43" t="str">
        <v>Oct</v>
      </c>
      <c r="W43">
        <v>2018</v>
      </c>
    </row>
    <row r="44" spans="1:23" hidden="1" x14ac:dyDescent="0.3">
      <c r="A44" t="s">
        <v>3</v>
      </c>
      <c r="B44" t="s">
        <v>41</v>
      </c>
      <c r="C44" t="s">
        <v>2</v>
      </c>
      <c r="D44" t="s">
        <v>28</v>
      </c>
      <c r="E44" s="1">
        <v>2838</v>
      </c>
      <c r="F44" s="1">
        <v>12</v>
      </c>
      <c r="G44" s="1">
        <v>34056</v>
      </c>
      <c r="H44" s="1">
        <v>34056</v>
      </c>
      <c r="I44" s="1">
        <v>25542</v>
      </c>
      <c r="J44" t="s">
        <v>4</v>
      </c>
      <c r="K44">
        <v>2019</v>
      </c>
      <c r="M44" t="str">
        <v>Midmarket</v>
      </c>
      <c r="N44" t="str">
        <v>Canada</v>
      </c>
      <c r="O44" t="str">
        <v>Montana</v>
      </c>
      <c r="P44" t="str">
        <v>Low</v>
      </c>
      <c r="Q44">
        <v>1967</v>
      </c>
      <c r="R44">
        <v>15</v>
      </c>
      <c r="S44">
        <v>29505</v>
      </c>
      <c r="T44">
        <v>28324.799999999999</v>
      </c>
      <c r="U44">
        <v>8654.7999999999993</v>
      </c>
      <c r="V44" t="str">
        <v>Mar</v>
      </c>
      <c r="W44">
        <v>2019</v>
      </c>
    </row>
    <row r="45" spans="1:23" hidden="1" x14ac:dyDescent="0.3">
      <c r="A45" t="s">
        <v>18</v>
      </c>
      <c r="B45" t="s">
        <v>14</v>
      </c>
      <c r="C45" t="s">
        <v>2</v>
      </c>
      <c r="D45" t="s">
        <v>28</v>
      </c>
      <c r="E45" s="1">
        <v>2178</v>
      </c>
      <c r="F45" s="1">
        <v>15</v>
      </c>
      <c r="G45" s="1">
        <v>32670</v>
      </c>
      <c r="H45" s="1">
        <v>32670</v>
      </c>
      <c r="I45" s="1">
        <v>10890</v>
      </c>
      <c r="J45" t="s">
        <v>25</v>
      </c>
      <c r="K45">
        <v>2019</v>
      </c>
      <c r="M45" t="str">
        <v>Government</v>
      </c>
      <c r="N45" t="str">
        <v>Canada</v>
      </c>
      <c r="O45" t="str">
        <v>Montana</v>
      </c>
      <c r="P45" t="str">
        <v>Low</v>
      </c>
      <c r="Q45">
        <v>2851</v>
      </c>
      <c r="R45">
        <v>7</v>
      </c>
      <c r="S45">
        <v>19957</v>
      </c>
      <c r="T45">
        <v>19158.72</v>
      </c>
      <c r="U45">
        <v>4903.7200000000012</v>
      </c>
      <c r="V45" t="str">
        <v>Oct</v>
      </c>
      <c r="W45">
        <v>2018</v>
      </c>
    </row>
    <row r="46" spans="1:23" hidden="1" x14ac:dyDescent="0.3">
      <c r="A46" t="s">
        <v>18</v>
      </c>
      <c r="B46" t="s">
        <v>41</v>
      </c>
      <c r="C46" t="s">
        <v>2</v>
      </c>
      <c r="D46" t="s">
        <v>28</v>
      </c>
      <c r="E46" s="1">
        <v>888</v>
      </c>
      <c r="F46" s="1">
        <v>15</v>
      </c>
      <c r="G46" s="1">
        <v>13320</v>
      </c>
      <c r="H46" s="1">
        <v>13320</v>
      </c>
      <c r="I46" s="1">
        <v>4440</v>
      </c>
      <c r="J46" t="s">
        <v>25</v>
      </c>
      <c r="K46">
        <v>2019</v>
      </c>
      <c r="M46" t="str">
        <v>Government</v>
      </c>
      <c r="N46" t="str">
        <v>Canada</v>
      </c>
      <c r="O46" t="str">
        <v>Paseo</v>
      </c>
      <c r="P46" t="str">
        <v>Low</v>
      </c>
      <c r="Q46">
        <v>4251</v>
      </c>
      <c r="R46">
        <v>7</v>
      </c>
      <c r="S46">
        <v>29757</v>
      </c>
      <c r="T46">
        <v>28566.720000000001</v>
      </c>
      <c r="U46">
        <v>7311.7199999999993</v>
      </c>
      <c r="V46" t="str">
        <v>Jan</v>
      </c>
      <c r="W46">
        <v>2019</v>
      </c>
    </row>
    <row r="47" spans="1:23" hidden="1" x14ac:dyDescent="0.3">
      <c r="A47" t="s">
        <v>6</v>
      </c>
      <c r="B47" t="s">
        <v>14</v>
      </c>
      <c r="C47" t="s">
        <v>2</v>
      </c>
      <c r="D47" t="s">
        <v>28</v>
      </c>
      <c r="E47" s="1">
        <v>1527</v>
      </c>
      <c r="F47" s="1">
        <v>350</v>
      </c>
      <c r="G47" s="1">
        <v>534450</v>
      </c>
      <c r="H47" s="1">
        <v>534450</v>
      </c>
      <c r="I47" s="1">
        <v>137430</v>
      </c>
      <c r="J47" t="s">
        <v>21</v>
      </c>
      <c r="K47">
        <v>2018</v>
      </c>
      <c r="M47" t="str">
        <v>Midmarket</v>
      </c>
      <c r="N47" t="str">
        <v>Canada</v>
      </c>
      <c r="O47" t="str">
        <v>Paseo</v>
      </c>
      <c r="P47" t="str">
        <v>Low</v>
      </c>
      <c r="Q47">
        <v>218</v>
      </c>
      <c r="R47">
        <v>15</v>
      </c>
      <c r="S47">
        <v>3270</v>
      </c>
      <c r="T47">
        <v>3139.2</v>
      </c>
      <c r="U47">
        <v>959.19999999999982</v>
      </c>
      <c r="V47" t="str">
        <v>Sep</v>
      </c>
      <c r="W47">
        <v>2019</v>
      </c>
    </row>
    <row r="48" spans="1:23" hidden="1" x14ac:dyDescent="0.3">
      <c r="A48" t="s">
        <v>12</v>
      </c>
      <c r="B48" t="s">
        <v>14</v>
      </c>
      <c r="C48" t="s">
        <v>2</v>
      </c>
      <c r="D48" t="s">
        <v>28</v>
      </c>
      <c r="E48" s="1">
        <v>2151</v>
      </c>
      <c r="F48" s="1">
        <v>300</v>
      </c>
      <c r="G48" s="1">
        <v>645300</v>
      </c>
      <c r="H48" s="1">
        <v>645300</v>
      </c>
      <c r="I48" s="1">
        <v>107550</v>
      </c>
      <c r="J48" t="s">
        <v>21</v>
      </c>
      <c r="K48">
        <v>2019</v>
      </c>
      <c r="M48" t="str">
        <v>Government</v>
      </c>
      <c r="N48" t="str">
        <v>Canada</v>
      </c>
      <c r="O48" t="str">
        <v>Paseo</v>
      </c>
      <c r="P48" t="str">
        <v>Low</v>
      </c>
      <c r="Q48">
        <v>2074</v>
      </c>
      <c r="R48">
        <v>20</v>
      </c>
      <c r="S48">
        <v>41480</v>
      </c>
      <c r="T48">
        <v>39820.800000000003</v>
      </c>
      <c r="U48">
        <v>19080.800000000003</v>
      </c>
      <c r="V48" t="str">
        <v>Sep</v>
      </c>
      <c r="W48">
        <v>2019</v>
      </c>
    </row>
    <row r="49" spans="1:23" hidden="1" x14ac:dyDescent="0.3">
      <c r="A49" t="s">
        <v>6</v>
      </c>
      <c r="B49" t="s">
        <v>40</v>
      </c>
      <c r="C49" t="s">
        <v>2</v>
      </c>
      <c r="D49" t="s">
        <v>28</v>
      </c>
      <c r="E49" s="1">
        <v>1817</v>
      </c>
      <c r="F49" s="1">
        <v>20</v>
      </c>
      <c r="G49" s="1">
        <v>36340</v>
      </c>
      <c r="H49" s="1">
        <v>36340</v>
      </c>
      <c r="I49" s="1">
        <v>18170</v>
      </c>
      <c r="J49" t="s">
        <v>15</v>
      </c>
      <c r="K49">
        <v>2019</v>
      </c>
      <c r="M49" t="str">
        <v>Government</v>
      </c>
      <c r="N49" t="str">
        <v>Canada</v>
      </c>
      <c r="O49" t="str">
        <v>Velo</v>
      </c>
      <c r="P49" t="str">
        <v>Low</v>
      </c>
      <c r="Q49">
        <v>2646</v>
      </c>
      <c r="R49">
        <v>20</v>
      </c>
      <c r="S49">
        <v>52920</v>
      </c>
      <c r="T49">
        <v>50803.199999999997</v>
      </c>
      <c r="U49">
        <v>24343.199999999997</v>
      </c>
      <c r="V49" t="str">
        <v>Sep</v>
      </c>
      <c r="W49">
        <v>2018</v>
      </c>
    </row>
    <row r="50" spans="1:23" hidden="1" x14ac:dyDescent="0.3">
      <c r="A50" t="s">
        <v>6</v>
      </c>
      <c r="B50" t="s">
        <v>14</v>
      </c>
      <c r="C50" t="s">
        <v>11</v>
      </c>
      <c r="D50" t="s">
        <v>28</v>
      </c>
      <c r="E50" s="1">
        <v>2750</v>
      </c>
      <c r="F50" s="1">
        <v>350</v>
      </c>
      <c r="G50" s="1">
        <v>962500</v>
      </c>
      <c r="H50" s="1">
        <v>962500</v>
      </c>
      <c r="I50" s="1">
        <v>247500</v>
      </c>
      <c r="J50" t="s">
        <v>7</v>
      </c>
      <c r="K50">
        <v>2019</v>
      </c>
      <c r="M50" t="str">
        <v>Government</v>
      </c>
      <c r="N50" t="str">
        <v>Canada</v>
      </c>
      <c r="O50" t="str">
        <v>Amarilla</v>
      </c>
      <c r="P50" t="str">
        <v>Low</v>
      </c>
      <c r="Q50">
        <v>1778</v>
      </c>
      <c r="R50">
        <v>350</v>
      </c>
      <c r="S50">
        <v>622300</v>
      </c>
      <c r="T50">
        <v>597408</v>
      </c>
      <c r="U50">
        <v>135128</v>
      </c>
      <c r="V50" t="str">
        <v>Dec</v>
      </c>
      <c r="W50">
        <v>2018</v>
      </c>
    </row>
    <row r="51" spans="1:23" hidden="1" x14ac:dyDescent="0.3">
      <c r="A51" t="s">
        <v>3</v>
      </c>
      <c r="B51" t="s">
        <v>42</v>
      </c>
      <c r="C51" t="s">
        <v>11</v>
      </c>
      <c r="D51" t="s">
        <v>28</v>
      </c>
      <c r="E51" s="1">
        <v>1953</v>
      </c>
      <c r="F51" s="1">
        <v>12</v>
      </c>
      <c r="G51" s="1">
        <v>23436</v>
      </c>
      <c r="H51" s="1">
        <v>23436</v>
      </c>
      <c r="I51" s="1">
        <v>17577</v>
      </c>
      <c r="J51" t="s">
        <v>4</v>
      </c>
      <c r="K51">
        <v>2019</v>
      </c>
      <c r="M51" t="str">
        <v>Government</v>
      </c>
      <c r="N51" t="str">
        <v>Canada</v>
      </c>
      <c r="O51" t="str">
        <v>Paseo</v>
      </c>
      <c r="P51" t="str">
        <v>Medium</v>
      </c>
      <c r="Q51">
        <v>2349</v>
      </c>
      <c r="R51">
        <v>7</v>
      </c>
      <c r="S51">
        <v>16443</v>
      </c>
      <c r="T51">
        <v>15620.85</v>
      </c>
      <c r="U51">
        <v>3875.8500000000004</v>
      </c>
      <c r="V51" t="str">
        <v>Sep</v>
      </c>
      <c r="W51">
        <v>2018</v>
      </c>
    </row>
    <row r="52" spans="1:23" hidden="1" x14ac:dyDescent="0.3">
      <c r="A52" t="s">
        <v>17</v>
      </c>
      <c r="B52" t="s">
        <v>41</v>
      </c>
      <c r="C52" t="s">
        <v>11</v>
      </c>
      <c r="D52" t="s">
        <v>28</v>
      </c>
      <c r="E52" s="1">
        <v>4219.5</v>
      </c>
      <c r="F52" s="1">
        <v>125</v>
      </c>
      <c r="G52" s="1">
        <v>527437.5</v>
      </c>
      <c r="H52" s="1">
        <v>527437.5</v>
      </c>
      <c r="I52" s="1">
        <v>21097.5</v>
      </c>
      <c r="J52" t="s">
        <v>4</v>
      </c>
      <c r="K52">
        <v>2019</v>
      </c>
      <c r="M52" t="str">
        <v>Channel Partners</v>
      </c>
      <c r="N52" t="str">
        <v>Canada</v>
      </c>
      <c r="O52" t="str">
        <v>Paseo</v>
      </c>
      <c r="P52" t="str">
        <v>Medium</v>
      </c>
      <c r="Q52">
        <v>2431</v>
      </c>
      <c r="R52">
        <v>12</v>
      </c>
      <c r="S52">
        <v>29172</v>
      </c>
      <c r="T52">
        <v>27713.4</v>
      </c>
      <c r="U52">
        <v>20420.400000000001</v>
      </c>
      <c r="V52" t="str">
        <v>Dec</v>
      </c>
      <c r="W52">
        <v>2019</v>
      </c>
    </row>
    <row r="53" spans="1:23" hidden="1" x14ac:dyDescent="0.3">
      <c r="A53" t="s">
        <v>6</v>
      </c>
      <c r="B53" t="s">
        <v>14</v>
      </c>
      <c r="C53" t="s">
        <v>11</v>
      </c>
      <c r="D53" t="s">
        <v>28</v>
      </c>
      <c r="E53" s="1">
        <v>1899</v>
      </c>
      <c r="F53" s="1">
        <v>20</v>
      </c>
      <c r="G53" s="1">
        <v>37980</v>
      </c>
      <c r="H53" s="1">
        <v>37980</v>
      </c>
      <c r="I53" s="1">
        <v>18990</v>
      </c>
      <c r="J53" t="s">
        <v>25</v>
      </c>
      <c r="K53">
        <v>2019</v>
      </c>
      <c r="M53" t="str">
        <v>Channel Partners</v>
      </c>
      <c r="N53" t="str">
        <v>Canada</v>
      </c>
      <c r="O53" t="str">
        <v>Velo</v>
      </c>
      <c r="P53" t="str">
        <v>Medium</v>
      </c>
      <c r="Q53">
        <v>2431</v>
      </c>
      <c r="R53">
        <v>12</v>
      </c>
      <c r="S53">
        <v>29172</v>
      </c>
      <c r="T53">
        <v>27713.4</v>
      </c>
      <c r="U53">
        <v>20420.400000000001</v>
      </c>
      <c r="V53" t="str">
        <v>Dec</v>
      </c>
      <c r="W53">
        <v>2019</v>
      </c>
    </row>
    <row r="54" spans="1:23" hidden="1" x14ac:dyDescent="0.3">
      <c r="A54" t="s">
        <v>6</v>
      </c>
      <c r="B54" t="s">
        <v>41</v>
      </c>
      <c r="C54" t="s">
        <v>11</v>
      </c>
      <c r="D54" t="s">
        <v>28</v>
      </c>
      <c r="E54" s="1">
        <v>1686</v>
      </c>
      <c r="F54" s="1">
        <v>7</v>
      </c>
      <c r="G54" s="1">
        <v>11802</v>
      </c>
      <c r="H54" s="1">
        <v>11802</v>
      </c>
      <c r="I54" s="1">
        <v>3372</v>
      </c>
      <c r="J54" t="s">
        <v>19</v>
      </c>
      <c r="K54">
        <v>2019</v>
      </c>
      <c r="M54" t="str">
        <v>Government</v>
      </c>
      <c r="N54" t="str">
        <v>Canada</v>
      </c>
      <c r="O54" t="str">
        <v>Paseo</v>
      </c>
      <c r="P54" t="str">
        <v>Medium</v>
      </c>
      <c r="Q54">
        <v>1228</v>
      </c>
      <c r="R54">
        <v>350</v>
      </c>
      <c r="S54">
        <v>429800</v>
      </c>
      <c r="T54">
        <v>408310</v>
      </c>
      <c r="U54">
        <v>89030</v>
      </c>
      <c r="V54" t="str">
        <v>Oct</v>
      </c>
      <c r="W54">
        <v>2018</v>
      </c>
    </row>
    <row r="55" spans="1:23" hidden="1" x14ac:dyDescent="0.3">
      <c r="A55" t="s">
        <v>3</v>
      </c>
      <c r="B55" t="s">
        <v>42</v>
      </c>
      <c r="C55" t="s">
        <v>11</v>
      </c>
      <c r="D55" t="s">
        <v>28</v>
      </c>
      <c r="E55" s="1">
        <v>2141</v>
      </c>
      <c r="F55" s="1">
        <v>12</v>
      </c>
      <c r="G55" s="1">
        <v>25692</v>
      </c>
      <c r="H55" s="1">
        <v>25692</v>
      </c>
      <c r="I55" s="1">
        <v>19269</v>
      </c>
      <c r="J55" t="s">
        <v>22</v>
      </c>
      <c r="K55">
        <v>2019</v>
      </c>
      <c r="M55" t="str">
        <v>Government</v>
      </c>
      <c r="N55" t="str">
        <v>Canada</v>
      </c>
      <c r="O55" t="str">
        <v>Paseo</v>
      </c>
      <c r="P55" t="str">
        <v>Medium</v>
      </c>
      <c r="Q55">
        <v>1389</v>
      </c>
      <c r="R55">
        <v>20</v>
      </c>
      <c r="S55">
        <v>27780</v>
      </c>
      <c r="T55">
        <v>26391</v>
      </c>
      <c r="U55">
        <v>12501</v>
      </c>
      <c r="V55" t="str">
        <v>Oct</v>
      </c>
      <c r="W55">
        <v>2018</v>
      </c>
    </row>
    <row r="56" spans="1:23" hidden="1" x14ac:dyDescent="0.3">
      <c r="A56" t="s">
        <v>6</v>
      </c>
      <c r="B56" t="s">
        <v>42</v>
      </c>
      <c r="C56" t="s">
        <v>11</v>
      </c>
      <c r="D56" t="s">
        <v>28</v>
      </c>
      <c r="E56" s="1">
        <v>1143</v>
      </c>
      <c r="F56" s="1">
        <v>7</v>
      </c>
      <c r="G56" s="1">
        <v>8001</v>
      </c>
      <c r="H56" s="1">
        <v>8001</v>
      </c>
      <c r="I56" s="1">
        <v>2286</v>
      </c>
      <c r="J56" t="s">
        <v>10</v>
      </c>
      <c r="K56">
        <v>2019</v>
      </c>
      <c r="M56" t="str">
        <v>Government</v>
      </c>
      <c r="N56" t="str">
        <v>Canada</v>
      </c>
      <c r="O56" t="str">
        <v>Paseo</v>
      </c>
      <c r="P56" t="str">
        <v>Medium</v>
      </c>
      <c r="Q56">
        <v>1802</v>
      </c>
      <c r="R56">
        <v>20</v>
      </c>
      <c r="S56">
        <v>36040</v>
      </c>
      <c r="T56">
        <v>34238</v>
      </c>
      <c r="U56">
        <v>16218</v>
      </c>
      <c r="V56" t="str">
        <v>Dec</v>
      </c>
      <c r="W56">
        <v>2018</v>
      </c>
    </row>
    <row r="57" spans="1:23" hidden="1" x14ac:dyDescent="0.3">
      <c r="A57" t="s">
        <v>18</v>
      </c>
      <c r="B57" t="s">
        <v>42</v>
      </c>
      <c r="C57" t="s">
        <v>11</v>
      </c>
      <c r="D57" t="s">
        <v>28</v>
      </c>
      <c r="E57" s="1">
        <v>615</v>
      </c>
      <c r="F57" s="1">
        <v>15</v>
      </c>
      <c r="G57" s="1">
        <v>9225</v>
      </c>
      <c r="H57" s="1">
        <v>9225</v>
      </c>
      <c r="I57" s="1">
        <v>3075</v>
      </c>
      <c r="J57" t="s">
        <v>15</v>
      </c>
      <c r="K57">
        <v>2019</v>
      </c>
      <c r="M57" t="str">
        <v>Government</v>
      </c>
      <c r="N57" t="str">
        <v>Canada</v>
      </c>
      <c r="O57" t="str">
        <v>VTT</v>
      </c>
      <c r="P57" t="str">
        <v>Medium</v>
      </c>
      <c r="Q57">
        <v>1389</v>
      </c>
      <c r="R57">
        <v>20</v>
      </c>
      <c r="S57">
        <v>27780</v>
      </c>
      <c r="T57">
        <v>26391</v>
      </c>
      <c r="U57">
        <v>12501</v>
      </c>
      <c r="V57" t="str">
        <v>Oct</v>
      </c>
      <c r="W57">
        <v>2018</v>
      </c>
    </row>
    <row r="58" spans="1:23" hidden="1" x14ac:dyDescent="0.3">
      <c r="A58" t="s">
        <v>6</v>
      </c>
      <c r="B58" t="s">
        <v>14</v>
      </c>
      <c r="C58" t="s">
        <v>5</v>
      </c>
      <c r="D58" t="s">
        <v>27</v>
      </c>
      <c r="E58" s="1">
        <v>3945</v>
      </c>
      <c r="F58" s="1">
        <v>7</v>
      </c>
      <c r="G58" s="1">
        <v>27615</v>
      </c>
      <c r="H58" s="1">
        <v>27338.850000000002</v>
      </c>
      <c r="I58" s="1">
        <v>7613.8500000000022</v>
      </c>
      <c r="J58" t="s">
        <v>24</v>
      </c>
      <c r="K58">
        <v>2019</v>
      </c>
      <c r="M58" t="str">
        <v>Government</v>
      </c>
      <c r="N58" t="str">
        <v>Canada</v>
      </c>
      <c r="O58" t="str">
        <v>Amarilla</v>
      </c>
      <c r="P58" t="str">
        <v>Medium</v>
      </c>
      <c r="Q58">
        <v>552</v>
      </c>
      <c r="R58">
        <v>350</v>
      </c>
      <c r="S58">
        <v>193200</v>
      </c>
      <c r="T58">
        <v>183540</v>
      </c>
      <c r="U58">
        <v>40020</v>
      </c>
      <c r="V58" t="str">
        <v>Aug</v>
      </c>
      <c r="W58">
        <v>2019</v>
      </c>
    </row>
    <row r="59" spans="1:23" hidden="1" x14ac:dyDescent="0.3">
      <c r="A59" t="s">
        <v>18</v>
      </c>
      <c r="B59" t="s">
        <v>14</v>
      </c>
      <c r="C59" t="s">
        <v>5</v>
      </c>
      <c r="D59" t="s">
        <v>27</v>
      </c>
      <c r="E59" s="1">
        <v>2296</v>
      </c>
      <c r="F59" s="1">
        <v>15</v>
      </c>
      <c r="G59" s="1">
        <v>34440</v>
      </c>
      <c r="H59" s="1">
        <v>34095.599999999999</v>
      </c>
      <c r="I59" s="1">
        <v>11135.599999999999</v>
      </c>
      <c r="J59" t="s">
        <v>7</v>
      </c>
      <c r="K59">
        <v>2019</v>
      </c>
      <c r="M59" t="str">
        <v>Government</v>
      </c>
      <c r="N59" t="str">
        <v>Canada</v>
      </c>
      <c r="O59" t="str">
        <v>Amarilla</v>
      </c>
      <c r="P59" t="str">
        <v>Medium</v>
      </c>
      <c r="Q59">
        <v>1228</v>
      </c>
      <c r="R59">
        <v>350</v>
      </c>
      <c r="S59">
        <v>429800</v>
      </c>
      <c r="T59">
        <v>408310</v>
      </c>
      <c r="U59">
        <v>89030</v>
      </c>
      <c r="V59" t="str">
        <v>Oct</v>
      </c>
      <c r="W59">
        <v>2018</v>
      </c>
    </row>
    <row r="60" spans="1:23" hidden="1" x14ac:dyDescent="0.3">
      <c r="A60" t="s">
        <v>6</v>
      </c>
      <c r="B60" t="s">
        <v>14</v>
      </c>
      <c r="C60" t="s">
        <v>5</v>
      </c>
      <c r="D60" t="s">
        <v>27</v>
      </c>
      <c r="E60" s="1">
        <v>1030</v>
      </c>
      <c r="F60" s="1">
        <v>7</v>
      </c>
      <c r="G60" s="1">
        <v>7210</v>
      </c>
      <c r="H60" s="1">
        <v>7137.9</v>
      </c>
      <c r="I60" s="1">
        <v>1987.8999999999996</v>
      </c>
      <c r="J60" t="s">
        <v>0</v>
      </c>
      <c r="K60">
        <v>2019</v>
      </c>
      <c r="M60" t="str">
        <v>Midmarket</v>
      </c>
      <c r="N60" t="str">
        <v>Canada</v>
      </c>
      <c r="O60" t="str">
        <v>Carretera</v>
      </c>
      <c r="P60" t="str">
        <v>Medium</v>
      </c>
      <c r="Q60">
        <v>2844</v>
      </c>
      <c r="R60">
        <v>15</v>
      </c>
      <c r="S60">
        <v>42660</v>
      </c>
      <c r="T60">
        <v>40100.400000000001</v>
      </c>
      <c r="U60">
        <v>11660.400000000001</v>
      </c>
      <c r="V60" t="str">
        <v>Jun</v>
      </c>
      <c r="W60">
        <v>2019</v>
      </c>
    </row>
    <row r="61" spans="1:23" hidden="1" x14ac:dyDescent="0.3">
      <c r="A61" t="s">
        <v>6</v>
      </c>
      <c r="B61" t="s">
        <v>14</v>
      </c>
      <c r="C61" t="s">
        <v>20</v>
      </c>
      <c r="D61" t="s">
        <v>27</v>
      </c>
      <c r="E61" s="1">
        <v>639</v>
      </c>
      <c r="F61" s="1">
        <v>7</v>
      </c>
      <c r="G61" s="1">
        <v>4473</v>
      </c>
      <c r="H61" s="1">
        <v>4428.2700000000004</v>
      </c>
      <c r="I61" s="1">
        <v>1233.2700000000004</v>
      </c>
      <c r="J61" t="s">
        <v>16</v>
      </c>
      <c r="K61">
        <v>2019</v>
      </c>
      <c r="M61" t="str">
        <v>Channel Partners</v>
      </c>
      <c r="N61" t="str">
        <v>Canada</v>
      </c>
      <c r="O61" t="str">
        <v>Carretera</v>
      </c>
      <c r="P61" t="str">
        <v>Medium</v>
      </c>
      <c r="Q61">
        <v>2299</v>
      </c>
      <c r="R61">
        <v>12</v>
      </c>
      <c r="S61">
        <v>27588</v>
      </c>
      <c r="T61">
        <v>25932.720000000001</v>
      </c>
      <c r="U61">
        <v>19035.72</v>
      </c>
      <c r="V61" t="str">
        <v>Oct</v>
      </c>
      <c r="W61">
        <v>2018</v>
      </c>
    </row>
    <row r="62" spans="1:23" hidden="1" x14ac:dyDescent="0.3">
      <c r="A62" t="s">
        <v>6</v>
      </c>
      <c r="B62" t="s">
        <v>40</v>
      </c>
      <c r="C62" t="s">
        <v>2</v>
      </c>
      <c r="D62" t="s">
        <v>27</v>
      </c>
      <c r="E62" s="1">
        <v>1326</v>
      </c>
      <c r="F62" s="1">
        <v>7</v>
      </c>
      <c r="G62" s="1">
        <v>9282</v>
      </c>
      <c r="H62" s="1">
        <v>9189.18</v>
      </c>
      <c r="I62" s="1">
        <v>2559.1800000000003</v>
      </c>
      <c r="J62" t="s">
        <v>13</v>
      </c>
      <c r="K62">
        <v>2019</v>
      </c>
      <c r="M62" t="str">
        <v>Channel Partners</v>
      </c>
      <c r="N62" t="str">
        <v>Canada</v>
      </c>
      <c r="O62" t="str">
        <v>Paseo</v>
      </c>
      <c r="P62" t="str">
        <v>Medium</v>
      </c>
      <c r="Q62">
        <v>2299</v>
      </c>
      <c r="R62">
        <v>12</v>
      </c>
      <c r="S62">
        <v>27588</v>
      </c>
      <c r="T62">
        <v>25932.720000000001</v>
      </c>
      <c r="U62">
        <v>19035.72</v>
      </c>
      <c r="V62" t="str">
        <v>Oct</v>
      </c>
      <c r="W62">
        <v>2018</v>
      </c>
    </row>
    <row r="63" spans="1:23" hidden="1" x14ac:dyDescent="0.3">
      <c r="A63" t="s">
        <v>3</v>
      </c>
      <c r="B63" t="s">
        <v>42</v>
      </c>
      <c r="C63" t="s">
        <v>23</v>
      </c>
      <c r="D63" t="s">
        <v>27</v>
      </c>
      <c r="E63" s="1">
        <v>1858</v>
      </c>
      <c r="F63" s="1">
        <v>12</v>
      </c>
      <c r="G63" s="1">
        <v>22296</v>
      </c>
      <c r="H63" s="1">
        <v>22073.040000000001</v>
      </c>
      <c r="I63" s="1">
        <v>16499.04</v>
      </c>
      <c r="J63" t="s">
        <v>7</v>
      </c>
      <c r="K63">
        <v>2019</v>
      </c>
      <c r="M63" t="str">
        <v>Enterprise</v>
      </c>
      <c r="N63" t="str">
        <v>Canada</v>
      </c>
      <c r="O63" t="str">
        <v>Velo</v>
      </c>
      <c r="P63" t="str">
        <v>Medium</v>
      </c>
      <c r="Q63">
        <v>952</v>
      </c>
      <c r="R63">
        <v>125</v>
      </c>
      <c r="S63">
        <v>119000</v>
      </c>
      <c r="T63">
        <v>111860</v>
      </c>
      <c r="U63">
        <v>-2380</v>
      </c>
      <c r="V63" t="str">
        <v>Feb</v>
      </c>
      <c r="W63">
        <v>2019</v>
      </c>
    </row>
    <row r="64" spans="1:23" hidden="1" x14ac:dyDescent="0.3">
      <c r="A64" t="s">
        <v>6</v>
      </c>
      <c r="B64" t="s">
        <v>9</v>
      </c>
      <c r="C64" t="s">
        <v>23</v>
      </c>
      <c r="D64" t="s">
        <v>27</v>
      </c>
      <c r="E64" s="1">
        <v>1210</v>
      </c>
      <c r="F64" s="1">
        <v>350</v>
      </c>
      <c r="G64" s="1">
        <v>423500</v>
      </c>
      <c r="H64" s="1">
        <v>419265</v>
      </c>
      <c r="I64" s="1">
        <v>104665</v>
      </c>
      <c r="J64" t="s">
        <v>13</v>
      </c>
      <c r="K64">
        <v>2019</v>
      </c>
      <c r="M64" t="str">
        <v>Midmarket</v>
      </c>
      <c r="N64" t="str">
        <v>Canada</v>
      </c>
      <c r="O64" t="str">
        <v>VTT</v>
      </c>
      <c r="P64" t="str">
        <v>Medium</v>
      </c>
      <c r="Q64">
        <v>2844</v>
      </c>
      <c r="R64">
        <v>15</v>
      </c>
      <c r="S64">
        <v>42660</v>
      </c>
      <c r="T64">
        <v>40100.400000000001</v>
      </c>
      <c r="U64">
        <v>11660.400000000001</v>
      </c>
      <c r="V64" t="str">
        <v>Jun</v>
      </c>
      <c r="W64">
        <v>2019</v>
      </c>
    </row>
    <row r="65" spans="1:23" hidden="1" x14ac:dyDescent="0.3">
      <c r="A65" t="s">
        <v>6</v>
      </c>
      <c r="B65" t="s">
        <v>42</v>
      </c>
      <c r="C65" t="s">
        <v>23</v>
      </c>
      <c r="D65" t="s">
        <v>27</v>
      </c>
      <c r="E65" s="1">
        <v>2529</v>
      </c>
      <c r="F65" s="1">
        <v>7</v>
      </c>
      <c r="G65" s="1">
        <v>17703</v>
      </c>
      <c r="H65" s="1">
        <v>17525.97</v>
      </c>
      <c r="I65" s="1">
        <v>4880.9699999999993</v>
      </c>
      <c r="J65" t="s">
        <v>19</v>
      </c>
      <c r="K65">
        <v>2019</v>
      </c>
      <c r="M65" t="str">
        <v>Small Business</v>
      </c>
      <c r="N65" t="str">
        <v>Canada</v>
      </c>
      <c r="O65" t="str">
        <v>VTT</v>
      </c>
      <c r="P65" t="str">
        <v>Medium</v>
      </c>
      <c r="Q65">
        <v>2436</v>
      </c>
      <c r="R65">
        <v>300</v>
      </c>
      <c r="S65">
        <v>730800</v>
      </c>
      <c r="T65">
        <v>686952</v>
      </c>
      <c r="U65">
        <v>77952</v>
      </c>
      <c r="V65" t="str">
        <v>Dec</v>
      </c>
      <c r="W65">
        <v>2018</v>
      </c>
    </row>
    <row r="66" spans="1:23" x14ac:dyDescent="0.3">
      <c r="A66" t="s">
        <v>3</v>
      </c>
      <c r="B66" t="s">
        <v>40</v>
      </c>
      <c r="C66" t="s">
        <v>23</v>
      </c>
      <c r="D66" t="s">
        <v>27</v>
      </c>
      <c r="E66" s="1">
        <v>1445</v>
      </c>
      <c r="F66" s="1">
        <v>12</v>
      </c>
      <c r="G66" s="1">
        <v>17340</v>
      </c>
      <c r="H66" s="1">
        <v>17166.599999999999</v>
      </c>
      <c r="I66" s="1">
        <v>12831.599999999999</v>
      </c>
      <c r="J66" t="s">
        <v>21</v>
      </c>
      <c r="K66">
        <v>2019</v>
      </c>
      <c r="M66" t="str">
        <v>Channel Partners</v>
      </c>
      <c r="N66" t="str">
        <v>Canada</v>
      </c>
      <c r="O66" t="str">
        <v>Carretera</v>
      </c>
      <c r="P66" t="str">
        <v>Medium</v>
      </c>
      <c r="Q66">
        <v>1884</v>
      </c>
      <c r="R66">
        <v>12</v>
      </c>
      <c r="S66">
        <v>22608</v>
      </c>
      <c r="T66">
        <v>21025.439999999999</v>
      </c>
      <c r="U66">
        <v>15373.439999999999</v>
      </c>
      <c r="V66" t="str">
        <v>Aug</v>
      </c>
      <c r="W66">
        <v>2019</v>
      </c>
    </row>
    <row r="67" spans="1:23" hidden="1" x14ac:dyDescent="0.3">
      <c r="A67" t="s">
        <v>17</v>
      </c>
      <c r="B67" t="s">
        <v>42</v>
      </c>
      <c r="C67" t="s">
        <v>23</v>
      </c>
      <c r="D67" t="s">
        <v>27</v>
      </c>
      <c r="E67" s="1">
        <v>330</v>
      </c>
      <c r="F67" s="1">
        <v>125</v>
      </c>
      <c r="G67" s="1">
        <v>41250</v>
      </c>
      <c r="H67" s="1">
        <v>40837.5</v>
      </c>
      <c r="I67" s="1">
        <v>1237.5</v>
      </c>
      <c r="J67" t="s">
        <v>21</v>
      </c>
      <c r="K67">
        <v>2018</v>
      </c>
      <c r="M67" t="str">
        <v>Midmarket</v>
      </c>
      <c r="N67" t="str">
        <v>Canada</v>
      </c>
      <c r="O67" t="str">
        <v>Velo</v>
      </c>
      <c r="P67" t="str">
        <v>Medium</v>
      </c>
      <c r="Q67">
        <v>1262</v>
      </c>
      <c r="R67">
        <v>15</v>
      </c>
      <c r="S67">
        <v>18930</v>
      </c>
      <c r="T67">
        <v>17604.900000000001</v>
      </c>
      <c r="U67">
        <v>4984.9000000000015</v>
      </c>
      <c r="V67" t="str">
        <v>May</v>
      </c>
      <c r="W67">
        <v>2019</v>
      </c>
    </row>
    <row r="68" spans="1:23" hidden="1" x14ac:dyDescent="0.3">
      <c r="A68" t="s">
        <v>3</v>
      </c>
      <c r="B68" t="s">
        <v>14</v>
      </c>
      <c r="C68" t="s">
        <v>23</v>
      </c>
      <c r="D68" t="s">
        <v>27</v>
      </c>
      <c r="E68" s="1">
        <v>2671</v>
      </c>
      <c r="F68" s="1">
        <v>12</v>
      </c>
      <c r="G68" s="1">
        <v>32052</v>
      </c>
      <c r="H68" s="1">
        <v>31731.48</v>
      </c>
      <c r="I68" s="1">
        <v>23718.48</v>
      </c>
      <c r="J68" t="s">
        <v>21</v>
      </c>
      <c r="K68">
        <v>2019</v>
      </c>
      <c r="M68" t="str">
        <v>Government</v>
      </c>
      <c r="N68" t="str">
        <v>Canada</v>
      </c>
      <c r="O68" t="str">
        <v>Velo</v>
      </c>
      <c r="P68" t="str">
        <v>Medium</v>
      </c>
      <c r="Q68">
        <v>1135</v>
      </c>
      <c r="R68">
        <v>7</v>
      </c>
      <c r="S68">
        <v>7945</v>
      </c>
      <c r="T68">
        <v>7388.85</v>
      </c>
      <c r="U68">
        <v>1713.8500000000004</v>
      </c>
      <c r="V68" t="str">
        <v>Jun</v>
      </c>
      <c r="W68">
        <v>2019</v>
      </c>
    </row>
    <row r="69" spans="1:23" hidden="1" x14ac:dyDescent="0.3">
      <c r="A69" t="s">
        <v>3</v>
      </c>
      <c r="B69" t="s">
        <v>41</v>
      </c>
      <c r="C69" t="s">
        <v>23</v>
      </c>
      <c r="D69" t="s">
        <v>27</v>
      </c>
      <c r="E69" s="1">
        <v>766</v>
      </c>
      <c r="F69" s="1">
        <v>12</v>
      </c>
      <c r="G69" s="1">
        <v>9192</v>
      </c>
      <c r="H69" s="1">
        <v>9100.08</v>
      </c>
      <c r="I69" s="1">
        <v>6802.08</v>
      </c>
      <c r="J69" t="s">
        <v>10</v>
      </c>
      <c r="K69">
        <v>2018</v>
      </c>
      <c r="M69" t="str">
        <v>Government</v>
      </c>
      <c r="N69" t="str">
        <v>Canada</v>
      </c>
      <c r="O69" t="str">
        <v>Velo</v>
      </c>
      <c r="P69" t="str">
        <v>Medium</v>
      </c>
      <c r="Q69">
        <v>1582</v>
      </c>
      <c r="R69">
        <v>7</v>
      </c>
      <c r="S69">
        <v>11074</v>
      </c>
      <c r="T69">
        <v>10298.82</v>
      </c>
      <c r="U69">
        <v>2388.8199999999997</v>
      </c>
      <c r="V69" t="str">
        <v>Dec</v>
      </c>
      <c r="W69">
        <v>2019</v>
      </c>
    </row>
    <row r="70" spans="1:23" hidden="1" x14ac:dyDescent="0.3">
      <c r="A70" t="s">
        <v>12</v>
      </c>
      <c r="B70" t="s">
        <v>9</v>
      </c>
      <c r="C70" t="s">
        <v>23</v>
      </c>
      <c r="D70" t="s">
        <v>27</v>
      </c>
      <c r="E70" s="1">
        <v>494</v>
      </c>
      <c r="F70" s="1">
        <v>300</v>
      </c>
      <c r="G70" s="1">
        <v>148200</v>
      </c>
      <c r="H70" s="1">
        <v>146718</v>
      </c>
      <c r="I70" s="1">
        <v>23218</v>
      </c>
      <c r="J70" t="s">
        <v>10</v>
      </c>
      <c r="K70">
        <v>2018</v>
      </c>
      <c r="M70" t="str">
        <v>Government</v>
      </c>
      <c r="N70" t="str">
        <v>Canada</v>
      </c>
      <c r="O70" t="str">
        <v>VTT</v>
      </c>
      <c r="P70" t="str">
        <v>Medium</v>
      </c>
      <c r="Q70">
        <v>1582</v>
      </c>
      <c r="R70">
        <v>7</v>
      </c>
      <c r="S70">
        <v>11074</v>
      </c>
      <c r="T70">
        <v>10298.82</v>
      </c>
      <c r="U70">
        <v>2388.8199999999997</v>
      </c>
      <c r="V70" t="str">
        <v>Dec</v>
      </c>
      <c r="W70">
        <v>2019</v>
      </c>
    </row>
    <row r="71" spans="1:23" hidden="1" x14ac:dyDescent="0.3">
      <c r="A71" t="s">
        <v>12</v>
      </c>
      <c r="B71" t="s">
        <v>9</v>
      </c>
      <c r="C71" t="s">
        <v>23</v>
      </c>
      <c r="D71" t="s">
        <v>27</v>
      </c>
      <c r="E71" s="1">
        <v>494</v>
      </c>
      <c r="F71" s="1">
        <v>300</v>
      </c>
      <c r="G71" s="1">
        <v>148200</v>
      </c>
      <c r="H71" s="1">
        <v>146718</v>
      </c>
      <c r="I71" s="1">
        <v>23218</v>
      </c>
      <c r="J71" t="s">
        <v>10</v>
      </c>
      <c r="K71">
        <v>2018</v>
      </c>
      <c r="M71" t="str">
        <v>Government</v>
      </c>
      <c r="N71" t="str">
        <v>Canada</v>
      </c>
      <c r="O71" t="str">
        <v>Amarilla</v>
      </c>
      <c r="P71" t="str">
        <v>Medium</v>
      </c>
      <c r="Q71">
        <v>1135</v>
      </c>
      <c r="R71">
        <v>7</v>
      </c>
      <c r="S71">
        <v>7945</v>
      </c>
      <c r="T71">
        <v>7388.85</v>
      </c>
      <c r="U71">
        <v>1713.8500000000004</v>
      </c>
      <c r="V71" t="str">
        <v>Jun</v>
      </c>
      <c r="W71">
        <v>2019</v>
      </c>
    </row>
    <row r="72" spans="1:23" hidden="1" x14ac:dyDescent="0.3">
      <c r="A72" t="s">
        <v>6</v>
      </c>
      <c r="B72" t="s">
        <v>9</v>
      </c>
      <c r="C72" t="s">
        <v>23</v>
      </c>
      <c r="D72" t="s">
        <v>27</v>
      </c>
      <c r="E72" s="1">
        <v>1397</v>
      </c>
      <c r="F72" s="1">
        <v>350</v>
      </c>
      <c r="G72" s="1">
        <v>488950</v>
      </c>
      <c r="H72" s="1">
        <v>484060.5</v>
      </c>
      <c r="I72" s="1">
        <v>120840.5</v>
      </c>
      <c r="J72" t="s">
        <v>10</v>
      </c>
      <c r="K72">
        <v>2019</v>
      </c>
      <c r="M72" t="str">
        <v>Small Business</v>
      </c>
      <c r="N72" t="str">
        <v>Canada</v>
      </c>
      <c r="O72" t="str">
        <v>Paseo</v>
      </c>
      <c r="P72" t="str">
        <v>Medium</v>
      </c>
      <c r="Q72">
        <v>1702</v>
      </c>
      <c r="R72">
        <v>300</v>
      </c>
      <c r="S72">
        <v>510600</v>
      </c>
      <c r="T72">
        <v>474858</v>
      </c>
      <c r="U72">
        <v>49358</v>
      </c>
      <c r="V72" t="str">
        <v>May</v>
      </c>
      <c r="W72">
        <v>2019</v>
      </c>
    </row>
    <row r="73" spans="1:23" hidden="1" x14ac:dyDescent="0.3">
      <c r="A73" t="s">
        <v>6</v>
      </c>
      <c r="B73" t="s">
        <v>14</v>
      </c>
      <c r="C73" t="s">
        <v>23</v>
      </c>
      <c r="D73" t="s">
        <v>27</v>
      </c>
      <c r="E73" s="1">
        <v>2155</v>
      </c>
      <c r="F73" s="1">
        <v>350</v>
      </c>
      <c r="G73" s="1">
        <v>754250</v>
      </c>
      <c r="H73" s="1">
        <v>746707.5</v>
      </c>
      <c r="I73" s="1">
        <v>186407.5</v>
      </c>
      <c r="J73" t="s">
        <v>15</v>
      </c>
      <c r="K73">
        <v>2019</v>
      </c>
      <c r="M73" t="str">
        <v>Small Business</v>
      </c>
      <c r="N73" t="str">
        <v>Canada</v>
      </c>
      <c r="O73" t="str">
        <v>Paseo</v>
      </c>
      <c r="P73" t="str">
        <v>Medium</v>
      </c>
      <c r="Q73">
        <v>1404</v>
      </c>
      <c r="R73">
        <v>300</v>
      </c>
      <c r="S73">
        <v>421200</v>
      </c>
      <c r="T73">
        <v>391716</v>
      </c>
      <c r="U73">
        <v>40716</v>
      </c>
      <c r="V73" t="str">
        <v>Nov</v>
      </c>
      <c r="W73">
        <v>2018</v>
      </c>
    </row>
    <row r="74" spans="1:23" hidden="1" x14ac:dyDescent="0.3">
      <c r="A74" t="s">
        <v>18</v>
      </c>
      <c r="B74" t="s">
        <v>9</v>
      </c>
      <c r="C74" t="s">
        <v>8</v>
      </c>
      <c r="D74" t="s">
        <v>27</v>
      </c>
      <c r="E74" s="1">
        <v>2214</v>
      </c>
      <c r="F74" s="1">
        <v>15</v>
      </c>
      <c r="G74" s="1">
        <v>33210</v>
      </c>
      <c r="H74" s="1">
        <v>32877.9</v>
      </c>
      <c r="I74" s="1">
        <v>10737.900000000001</v>
      </c>
      <c r="J74" t="s">
        <v>13</v>
      </c>
      <c r="K74">
        <v>2019</v>
      </c>
      <c r="M74" t="str">
        <v>Channel Partners</v>
      </c>
      <c r="N74" t="str">
        <v>Canada</v>
      </c>
      <c r="O74" t="str">
        <v>VTT</v>
      </c>
      <c r="P74" t="str">
        <v>Medium</v>
      </c>
      <c r="Q74">
        <v>3244.5</v>
      </c>
      <c r="R74">
        <v>12</v>
      </c>
      <c r="S74">
        <v>38934</v>
      </c>
      <c r="T74">
        <v>36208.620000000003</v>
      </c>
      <c r="U74">
        <v>26475.120000000003</v>
      </c>
      <c r="V74" t="str">
        <v>Jan</v>
      </c>
      <c r="W74">
        <v>2019</v>
      </c>
    </row>
    <row r="75" spans="1:23" hidden="1" x14ac:dyDescent="0.3">
      <c r="A75" t="s">
        <v>12</v>
      </c>
      <c r="B75" t="s">
        <v>42</v>
      </c>
      <c r="C75" t="s">
        <v>8</v>
      </c>
      <c r="D75" t="s">
        <v>27</v>
      </c>
      <c r="E75" s="1">
        <v>2301</v>
      </c>
      <c r="F75" s="1">
        <v>300</v>
      </c>
      <c r="G75" s="1">
        <v>690300</v>
      </c>
      <c r="H75" s="1">
        <v>683397</v>
      </c>
      <c r="I75" s="1">
        <v>108147</v>
      </c>
      <c r="J75" t="s">
        <v>4</v>
      </c>
      <c r="K75">
        <v>2019</v>
      </c>
      <c r="M75" t="str">
        <v>Enterprise</v>
      </c>
      <c r="N75" t="str">
        <v>Canada</v>
      </c>
      <c r="O75" t="str">
        <v>Amarilla</v>
      </c>
      <c r="P75" t="str">
        <v>Medium</v>
      </c>
      <c r="Q75">
        <v>1645</v>
      </c>
      <c r="R75">
        <v>125</v>
      </c>
      <c r="S75">
        <v>205625</v>
      </c>
      <c r="T75">
        <v>191231.25</v>
      </c>
      <c r="U75">
        <v>-6168.75</v>
      </c>
      <c r="V75" t="str">
        <v>May</v>
      </c>
      <c r="W75">
        <v>2019</v>
      </c>
    </row>
    <row r="76" spans="1:23" hidden="1" x14ac:dyDescent="0.3">
      <c r="A76" t="s">
        <v>6</v>
      </c>
      <c r="B76" t="s">
        <v>14</v>
      </c>
      <c r="C76" t="s">
        <v>8</v>
      </c>
      <c r="D76" t="s">
        <v>27</v>
      </c>
      <c r="E76" s="1">
        <v>1375.5</v>
      </c>
      <c r="F76" s="1">
        <v>20</v>
      </c>
      <c r="G76" s="1">
        <v>27510</v>
      </c>
      <c r="H76" s="1">
        <v>27234.899999999998</v>
      </c>
      <c r="I76" s="1">
        <v>13479.899999999998</v>
      </c>
      <c r="J76" t="s">
        <v>19</v>
      </c>
      <c r="K76">
        <v>2019</v>
      </c>
      <c r="M76" t="str">
        <v>Government</v>
      </c>
      <c r="N76" t="str">
        <v>Canada</v>
      </c>
      <c r="O76" t="str">
        <v>Amarilla</v>
      </c>
      <c r="P76" t="str">
        <v>Medium</v>
      </c>
      <c r="Q76">
        <v>1118</v>
      </c>
      <c r="R76">
        <v>20</v>
      </c>
      <c r="S76">
        <v>22360</v>
      </c>
      <c r="T76">
        <v>20794.8</v>
      </c>
      <c r="U76">
        <v>9614.7999999999993</v>
      </c>
      <c r="V76" t="str">
        <v>Nov</v>
      </c>
      <c r="W76">
        <v>2019</v>
      </c>
    </row>
    <row r="77" spans="1:23" hidden="1" x14ac:dyDescent="0.3">
      <c r="A77" t="s">
        <v>6</v>
      </c>
      <c r="B77" t="s">
        <v>14</v>
      </c>
      <c r="C77" t="s">
        <v>8</v>
      </c>
      <c r="D77" t="s">
        <v>27</v>
      </c>
      <c r="E77" s="1">
        <v>1375.5</v>
      </c>
      <c r="F77" s="1">
        <v>20</v>
      </c>
      <c r="G77" s="1">
        <v>27510</v>
      </c>
      <c r="H77" s="1">
        <v>27234.899999999998</v>
      </c>
      <c r="I77" s="1">
        <v>13479.899999999998</v>
      </c>
      <c r="J77" t="s">
        <v>19</v>
      </c>
      <c r="K77">
        <v>2019</v>
      </c>
      <c r="M77" t="str">
        <v>Government</v>
      </c>
      <c r="N77" t="str">
        <v>Canada</v>
      </c>
      <c r="O77" t="str">
        <v>Montana</v>
      </c>
      <c r="P77" t="str">
        <v>Medium</v>
      </c>
      <c r="Q77">
        <v>488</v>
      </c>
      <c r="R77">
        <v>7</v>
      </c>
      <c r="S77">
        <v>3416</v>
      </c>
      <c r="T77">
        <v>3142.7200000000003</v>
      </c>
      <c r="U77">
        <v>702.72000000000025</v>
      </c>
      <c r="V77" t="str">
        <v>Feb</v>
      </c>
      <c r="W77">
        <v>2019</v>
      </c>
    </row>
    <row r="78" spans="1:23" hidden="1" x14ac:dyDescent="0.3">
      <c r="A78" t="s">
        <v>6</v>
      </c>
      <c r="B78" t="s">
        <v>40</v>
      </c>
      <c r="C78" t="s">
        <v>8</v>
      </c>
      <c r="D78" t="s">
        <v>27</v>
      </c>
      <c r="E78" s="1">
        <v>1830</v>
      </c>
      <c r="F78" s="1">
        <v>7</v>
      </c>
      <c r="G78" s="1">
        <v>12810</v>
      </c>
      <c r="H78" s="1">
        <v>12681.9</v>
      </c>
      <c r="I78" s="1">
        <v>3531.8999999999996</v>
      </c>
      <c r="J78" t="s">
        <v>22</v>
      </c>
      <c r="K78">
        <v>2019</v>
      </c>
      <c r="M78" t="str">
        <v>Government</v>
      </c>
      <c r="N78" t="str">
        <v>Canada</v>
      </c>
      <c r="O78" t="str">
        <v>Paseo</v>
      </c>
      <c r="P78" t="str">
        <v>Medium</v>
      </c>
      <c r="Q78">
        <v>257</v>
      </c>
      <c r="R78">
        <v>7</v>
      </c>
      <c r="S78">
        <v>1799</v>
      </c>
      <c r="T78">
        <v>1655.08</v>
      </c>
      <c r="U78">
        <v>370.07999999999993</v>
      </c>
      <c r="V78" t="str">
        <v>May</v>
      </c>
      <c r="W78">
        <v>2019</v>
      </c>
    </row>
    <row r="79" spans="1:23" hidden="1" x14ac:dyDescent="0.3">
      <c r="A79" t="s">
        <v>12</v>
      </c>
      <c r="B79" t="s">
        <v>42</v>
      </c>
      <c r="C79" t="s">
        <v>8</v>
      </c>
      <c r="D79" t="s">
        <v>27</v>
      </c>
      <c r="E79" s="1">
        <v>2498</v>
      </c>
      <c r="F79" s="1">
        <v>300</v>
      </c>
      <c r="G79" s="1">
        <v>749400</v>
      </c>
      <c r="H79" s="1">
        <v>741906</v>
      </c>
      <c r="I79" s="1">
        <v>117406</v>
      </c>
      <c r="J79" t="s">
        <v>21</v>
      </c>
      <c r="K79">
        <v>2018</v>
      </c>
      <c r="M79" t="str">
        <v>Government</v>
      </c>
      <c r="N79" t="str">
        <v>Canada</v>
      </c>
      <c r="O79" t="str">
        <v>Montana</v>
      </c>
      <c r="P79" t="str">
        <v>Medium</v>
      </c>
      <c r="Q79">
        <v>708</v>
      </c>
      <c r="R79">
        <v>20</v>
      </c>
      <c r="S79">
        <v>14160</v>
      </c>
      <c r="T79">
        <v>13027.2</v>
      </c>
      <c r="U79">
        <v>5947.2000000000007</v>
      </c>
      <c r="V79" t="str">
        <v>Jun</v>
      </c>
      <c r="W79">
        <v>2019</v>
      </c>
    </row>
    <row r="80" spans="1:23" hidden="1" x14ac:dyDescent="0.3">
      <c r="A80" t="s">
        <v>17</v>
      </c>
      <c r="B80" t="s">
        <v>42</v>
      </c>
      <c r="C80" t="s">
        <v>8</v>
      </c>
      <c r="D80" t="s">
        <v>27</v>
      </c>
      <c r="E80" s="1">
        <v>663</v>
      </c>
      <c r="F80" s="1">
        <v>125</v>
      </c>
      <c r="G80" s="1">
        <v>82875</v>
      </c>
      <c r="H80" s="1">
        <v>82046.25</v>
      </c>
      <c r="I80" s="1">
        <v>2486.25</v>
      </c>
      <c r="J80" t="s">
        <v>10</v>
      </c>
      <c r="K80">
        <v>2018</v>
      </c>
      <c r="M80" t="str">
        <v>Small Business</v>
      </c>
      <c r="N80" t="str">
        <v>Canada</v>
      </c>
      <c r="O80" t="str">
        <v>Montana</v>
      </c>
      <c r="P80" t="str">
        <v>Medium</v>
      </c>
      <c r="Q80">
        <v>1283</v>
      </c>
      <c r="R80">
        <v>300</v>
      </c>
      <c r="S80">
        <v>384900</v>
      </c>
      <c r="T80">
        <v>354108</v>
      </c>
      <c r="U80">
        <v>33358</v>
      </c>
      <c r="V80" t="str">
        <v>Sep</v>
      </c>
      <c r="W80">
        <v>2018</v>
      </c>
    </row>
    <row r="81" spans="1:23" hidden="1" x14ac:dyDescent="0.3">
      <c r="A81" t="s">
        <v>18</v>
      </c>
      <c r="B81" t="s">
        <v>42</v>
      </c>
      <c r="C81" t="s">
        <v>5</v>
      </c>
      <c r="D81" t="s">
        <v>27</v>
      </c>
      <c r="E81" s="1">
        <v>1514</v>
      </c>
      <c r="F81" s="1">
        <v>15</v>
      </c>
      <c r="G81" s="1">
        <v>22710</v>
      </c>
      <c r="H81" s="1">
        <v>22482.9</v>
      </c>
      <c r="I81" s="1">
        <v>7342.9000000000015</v>
      </c>
      <c r="J81" t="s">
        <v>7</v>
      </c>
      <c r="K81">
        <v>2019</v>
      </c>
      <c r="M81" t="str">
        <v>Channel Partners</v>
      </c>
      <c r="N81" t="str">
        <v>Canada</v>
      </c>
      <c r="O81" t="str">
        <v>Velo</v>
      </c>
      <c r="P81" t="str">
        <v>Medium</v>
      </c>
      <c r="Q81">
        <v>598</v>
      </c>
      <c r="R81">
        <v>12</v>
      </c>
      <c r="S81">
        <v>7176</v>
      </c>
      <c r="T81">
        <v>6601.92</v>
      </c>
      <c r="U81">
        <v>4807.92</v>
      </c>
      <c r="V81" t="str">
        <v>Mar</v>
      </c>
      <c r="W81">
        <v>2019</v>
      </c>
    </row>
    <row r="82" spans="1:23" hidden="1" x14ac:dyDescent="0.3">
      <c r="A82" t="s">
        <v>6</v>
      </c>
      <c r="B82" t="s">
        <v>42</v>
      </c>
      <c r="C82" t="s">
        <v>5</v>
      </c>
      <c r="D82" t="s">
        <v>27</v>
      </c>
      <c r="E82" s="1">
        <v>4492.5</v>
      </c>
      <c r="F82" s="1">
        <v>7</v>
      </c>
      <c r="G82" s="1">
        <v>31447.5</v>
      </c>
      <c r="H82" s="1">
        <v>31133.024999999998</v>
      </c>
      <c r="I82" s="1">
        <v>8670.5249999999978</v>
      </c>
      <c r="J82" t="s">
        <v>4</v>
      </c>
      <c r="K82">
        <v>2019</v>
      </c>
      <c r="M82" t="str">
        <v>Small Business</v>
      </c>
      <c r="N82" t="str">
        <v>Canada</v>
      </c>
      <c r="O82" t="str">
        <v>VTT</v>
      </c>
      <c r="P82" t="str">
        <v>Medium</v>
      </c>
      <c r="Q82">
        <v>2134</v>
      </c>
      <c r="R82">
        <v>300</v>
      </c>
      <c r="S82">
        <v>640200</v>
      </c>
      <c r="T82">
        <v>588984</v>
      </c>
      <c r="U82">
        <v>55484</v>
      </c>
      <c r="V82" t="str">
        <v>Sep</v>
      </c>
      <c r="W82">
        <v>2019</v>
      </c>
    </row>
    <row r="83" spans="1:23" hidden="1" x14ac:dyDescent="0.3">
      <c r="A83" t="s">
        <v>17</v>
      </c>
      <c r="B83" t="s">
        <v>42</v>
      </c>
      <c r="C83" t="s">
        <v>5</v>
      </c>
      <c r="D83" t="s">
        <v>27</v>
      </c>
      <c r="E83" s="1">
        <v>727</v>
      </c>
      <c r="F83" s="1">
        <v>125</v>
      </c>
      <c r="G83" s="1">
        <v>90875</v>
      </c>
      <c r="H83" s="1">
        <v>89966.25</v>
      </c>
      <c r="I83" s="1">
        <v>2726.25</v>
      </c>
      <c r="J83" t="s">
        <v>25</v>
      </c>
      <c r="K83">
        <v>2019</v>
      </c>
      <c r="M83" t="str">
        <v>Government</v>
      </c>
      <c r="N83" t="str">
        <v>Canada</v>
      </c>
      <c r="O83" t="str">
        <v>Amarilla</v>
      </c>
      <c r="P83" t="str">
        <v>Medium</v>
      </c>
      <c r="Q83">
        <v>708</v>
      </c>
      <c r="R83">
        <v>20</v>
      </c>
      <c r="S83">
        <v>14160</v>
      </c>
      <c r="T83">
        <v>13027.2</v>
      </c>
      <c r="U83">
        <v>5947.2000000000007</v>
      </c>
      <c r="V83" t="str">
        <v>Jun</v>
      </c>
      <c r="W83">
        <v>2019</v>
      </c>
    </row>
    <row r="84" spans="1:23" hidden="1" x14ac:dyDescent="0.3">
      <c r="A84" t="s">
        <v>17</v>
      </c>
      <c r="B84" t="s">
        <v>14</v>
      </c>
      <c r="C84" t="s">
        <v>5</v>
      </c>
      <c r="D84" t="s">
        <v>27</v>
      </c>
      <c r="E84" s="1">
        <v>787</v>
      </c>
      <c r="F84" s="1">
        <v>125</v>
      </c>
      <c r="G84" s="1">
        <v>98375</v>
      </c>
      <c r="H84" s="1">
        <v>97391.25</v>
      </c>
      <c r="I84" s="1">
        <v>2951.25</v>
      </c>
      <c r="J84" t="s">
        <v>25</v>
      </c>
      <c r="K84">
        <v>2019</v>
      </c>
      <c r="M84" t="str">
        <v>Small Business</v>
      </c>
      <c r="N84" t="str">
        <v>Canada</v>
      </c>
      <c r="O84" t="str">
        <v>Carretera</v>
      </c>
      <c r="P84" t="str">
        <v>Medium</v>
      </c>
      <c r="Q84">
        <v>1094</v>
      </c>
      <c r="R84">
        <v>300</v>
      </c>
      <c r="S84">
        <v>328200</v>
      </c>
      <c r="T84">
        <v>298662</v>
      </c>
      <c r="U84">
        <v>25162</v>
      </c>
      <c r="V84" t="str">
        <v>Jun</v>
      </c>
      <c r="W84">
        <v>2019</v>
      </c>
    </row>
    <row r="85" spans="1:23" hidden="1" x14ac:dyDescent="0.3">
      <c r="A85" t="s">
        <v>17</v>
      </c>
      <c r="B85" t="s">
        <v>9</v>
      </c>
      <c r="C85" t="s">
        <v>5</v>
      </c>
      <c r="D85" t="s">
        <v>27</v>
      </c>
      <c r="E85" s="1">
        <v>1823</v>
      </c>
      <c r="F85" s="1">
        <v>125</v>
      </c>
      <c r="G85" s="1">
        <v>227875</v>
      </c>
      <c r="H85" s="1">
        <v>225596.25</v>
      </c>
      <c r="I85" s="1">
        <v>6836.25</v>
      </c>
      <c r="J85" t="s">
        <v>19</v>
      </c>
      <c r="K85">
        <v>2019</v>
      </c>
      <c r="M85" t="str">
        <v>Small Business</v>
      </c>
      <c r="N85" t="str">
        <v>Canada</v>
      </c>
      <c r="O85" t="str">
        <v>Montana</v>
      </c>
      <c r="P85" t="str">
        <v>Medium</v>
      </c>
      <c r="Q85">
        <v>3802.5</v>
      </c>
      <c r="R85">
        <v>300</v>
      </c>
      <c r="S85">
        <v>1140750</v>
      </c>
      <c r="T85">
        <v>1038082.5</v>
      </c>
      <c r="U85">
        <v>87457.5</v>
      </c>
      <c r="V85" t="str">
        <v>Apr</v>
      </c>
      <c r="W85">
        <v>2019</v>
      </c>
    </row>
    <row r="86" spans="1:23" hidden="1" x14ac:dyDescent="0.3">
      <c r="A86" t="s">
        <v>18</v>
      </c>
      <c r="B86" t="s">
        <v>41</v>
      </c>
      <c r="C86" t="s">
        <v>5</v>
      </c>
      <c r="D86" t="s">
        <v>27</v>
      </c>
      <c r="E86" s="1">
        <v>747</v>
      </c>
      <c r="F86" s="1">
        <v>15</v>
      </c>
      <c r="G86" s="1">
        <v>11205</v>
      </c>
      <c r="H86" s="1">
        <v>11092.95</v>
      </c>
      <c r="I86" s="1">
        <v>3622.9500000000007</v>
      </c>
      <c r="J86" t="s">
        <v>21</v>
      </c>
      <c r="K86">
        <v>2019</v>
      </c>
      <c r="M86" t="str">
        <v>Channel Partners</v>
      </c>
      <c r="N86" t="str">
        <v>Canada</v>
      </c>
      <c r="O86" t="str">
        <v>Montana</v>
      </c>
      <c r="P86" t="str">
        <v>Medium</v>
      </c>
      <c r="Q86">
        <v>2321</v>
      </c>
      <c r="R86">
        <v>12</v>
      </c>
      <c r="S86">
        <v>27852</v>
      </c>
      <c r="T86">
        <v>25345.32</v>
      </c>
      <c r="U86">
        <v>18382.32</v>
      </c>
      <c r="V86" t="str">
        <v>Nov</v>
      </c>
      <c r="W86">
        <v>2019</v>
      </c>
    </row>
    <row r="87" spans="1:23" hidden="1" x14ac:dyDescent="0.3">
      <c r="A87" t="s">
        <v>3</v>
      </c>
      <c r="B87" t="s">
        <v>41</v>
      </c>
      <c r="C87" t="s">
        <v>5</v>
      </c>
      <c r="D87" t="s">
        <v>27</v>
      </c>
      <c r="E87" s="1">
        <v>766</v>
      </c>
      <c r="F87" s="1">
        <v>12</v>
      </c>
      <c r="G87" s="1">
        <v>9192</v>
      </c>
      <c r="H87" s="1">
        <v>9100.08</v>
      </c>
      <c r="I87" s="1">
        <v>6802.08</v>
      </c>
      <c r="J87" t="s">
        <v>10</v>
      </c>
      <c r="K87">
        <v>2018</v>
      </c>
      <c r="M87" t="str">
        <v>Government</v>
      </c>
      <c r="N87" t="str">
        <v>Canada</v>
      </c>
      <c r="O87" t="str">
        <v>Montana</v>
      </c>
      <c r="P87" t="str">
        <v>Medium</v>
      </c>
      <c r="Q87">
        <v>1611</v>
      </c>
      <c r="R87">
        <v>7</v>
      </c>
      <c r="S87">
        <v>11277</v>
      </c>
      <c r="T87">
        <v>10262.07</v>
      </c>
      <c r="U87">
        <v>2207.0699999999997</v>
      </c>
      <c r="V87" t="str">
        <v>Dec</v>
      </c>
      <c r="W87">
        <v>2018</v>
      </c>
    </row>
    <row r="88" spans="1:23" hidden="1" x14ac:dyDescent="0.3">
      <c r="A88" t="s">
        <v>12</v>
      </c>
      <c r="B88" t="s">
        <v>42</v>
      </c>
      <c r="C88" t="s">
        <v>5</v>
      </c>
      <c r="D88" t="s">
        <v>27</v>
      </c>
      <c r="E88" s="1">
        <v>2905</v>
      </c>
      <c r="F88" s="1">
        <v>300</v>
      </c>
      <c r="G88" s="1">
        <v>871500</v>
      </c>
      <c r="H88" s="1">
        <v>862785</v>
      </c>
      <c r="I88" s="1">
        <v>136535</v>
      </c>
      <c r="J88" t="s">
        <v>16</v>
      </c>
      <c r="K88">
        <v>2019</v>
      </c>
      <c r="M88" t="str">
        <v>Small Business</v>
      </c>
      <c r="N88" t="str">
        <v>Canada</v>
      </c>
      <c r="O88" t="str">
        <v>Paseo</v>
      </c>
      <c r="P88" t="str">
        <v>Medium</v>
      </c>
      <c r="Q88">
        <v>1094</v>
      </c>
      <c r="R88">
        <v>300</v>
      </c>
      <c r="S88">
        <v>328200</v>
      </c>
      <c r="T88">
        <v>298662</v>
      </c>
      <c r="U88">
        <v>25162</v>
      </c>
      <c r="V88" t="str">
        <v>Jun</v>
      </c>
      <c r="W88">
        <v>2019</v>
      </c>
    </row>
    <row r="89" spans="1:23" hidden="1" x14ac:dyDescent="0.3">
      <c r="A89" t="s">
        <v>6</v>
      </c>
      <c r="B89" t="s">
        <v>14</v>
      </c>
      <c r="C89" t="s">
        <v>5</v>
      </c>
      <c r="D89" t="s">
        <v>27</v>
      </c>
      <c r="E89" s="1">
        <v>2155</v>
      </c>
      <c r="F89" s="1">
        <v>350</v>
      </c>
      <c r="G89" s="1">
        <v>754250</v>
      </c>
      <c r="H89" s="1">
        <v>746707.5</v>
      </c>
      <c r="I89" s="1">
        <v>186407.5</v>
      </c>
      <c r="J89" t="s">
        <v>15</v>
      </c>
      <c r="K89">
        <v>2019</v>
      </c>
      <c r="M89" t="str">
        <v>Small Business</v>
      </c>
      <c r="N89" t="str">
        <v>Canada</v>
      </c>
      <c r="O89" t="str">
        <v>Velo</v>
      </c>
      <c r="P89" t="str">
        <v>Medium</v>
      </c>
      <c r="Q89">
        <v>3793.5</v>
      </c>
      <c r="R89">
        <v>300</v>
      </c>
      <c r="S89">
        <v>1138050</v>
      </c>
      <c r="T89">
        <v>1035625.5</v>
      </c>
      <c r="U89">
        <v>87250.5</v>
      </c>
      <c r="V89" t="str">
        <v>Jul</v>
      </c>
      <c r="W89">
        <v>2019</v>
      </c>
    </row>
    <row r="90" spans="1:23" hidden="1" x14ac:dyDescent="0.3">
      <c r="A90" t="s">
        <v>6</v>
      </c>
      <c r="B90" t="s">
        <v>14</v>
      </c>
      <c r="C90" t="s">
        <v>20</v>
      </c>
      <c r="D90" t="s">
        <v>27</v>
      </c>
      <c r="E90" s="1">
        <v>3864</v>
      </c>
      <c r="F90" s="1">
        <v>20</v>
      </c>
      <c r="G90" s="1">
        <v>77280</v>
      </c>
      <c r="H90" s="1">
        <v>76507.200000000012</v>
      </c>
      <c r="I90" s="1">
        <v>37867.200000000004</v>
      </c>
      <c r="J90" t="s">
        <v>4</v>
      </c>
      <c r="K90">
        <v>2019</v>
      </c>
      <c r="M90" t="str">
        <v>Enterprise</v>
      </c>
      <c r="N90" t="str">
        <v>Canada</v>
      </c>
      <c r="O90" t="str">
        <v>Velo</v>
      </c>
      <c r="P90" t="str">
        <v>Medium</v>
      </c>
      <c r="Q90">
        <v>567</v>
      </c>
      <c r="R90">
        <v>125</v>
      </c>
      <c r="S90">
        <v>70875</v>
      </c>
      <c r="T90">
        <v>64496.25</v>
      </c>
      <c r="U90">
        <v>-3543.75</v>
      </c>
      <c r="V90" t="str">
        <v>Sep</v>
      </c>
      <c r="W90">
        <v>2019</v>
      </c>
    </row>
    <row r="91" spans="1:23" hidden="1" x14ac:dyDescent="0.3">
      <c r="A91" t="s">
        <v>6</v>
      </c>
      <c r="B91" t="s">
        <v>9</v>
      </c>
      <c r="C91" t="s">
        <v>20</v>
      </c>
      <c r="D91" t="s">
        <v>27</v>
      </c>
      <c r="E91" s="1">
        <v>362</v>
      </c>
      <c r="F91" s="1">
        <v>7</v>
      </c>
      <c r="G91" s="1">
        <v>2534</v>
      </c>
      <c r="H91" s="1">
        <v>2508.66</v>
      </c>
      <c r="I91" s="1">
        <v>698.65999999999985</v>
      </c>
      <c r="J91" t="s">
        <v>0</v>
      </c>
      <c r="K91">
        <v>2019</v>
      </c>
      <c r="M91" t="str">
        <v>Government</v>
      </c>
      <c r="N91" t="str">
        <v>Canada</v>
      </c>
      <c r="O91" t="str">
        <v>Velo</v>
      </c>
      <c r="P91" t="str">
        <v>Medium</v>
      </c>
      <c r="Q91">
        <v>1269</v>
      </c>
      <c r="R91">
        <v>350</v>
      </c>
      <c r="S91">
        <v>444150</v>
      </c>
      <c r="T91">
        <v>404176.5</v>
      </c>
      <c r="U91">
        <v>74236.5</v>
      </c>
      <c r="V91" t="str">
        <v>Oct</v>
      </c>
      <c r="W91">
        <v>2019</v>
      </c>
    </row>
    <row r="92" spans="1:23" hidden="1" x14ac:dyDescent="0.3">
      <c r="A92" t="s">
        <v>17</v>
      </c>
      <c r="B92" t="s">
        <v>40</v>
      </c>
      <c r="C92" t="s">
        <v>20</v>
      </c>
      <c r="D92" t="s">
        <v>27</v>
      </c>
      <c r="E92" s="1">
        <v>923</v>
      </c>
      <c r="F92" s="1">
        <v>125</v>
      </c>
      <c r="G92" s="1">
        <v>115375</v>
      </c>
      <c r="H92" s="1">
        <v>114221.25</v>
      </c>
      <c r="I92" s="1">
        <v>3461.25</v>
      </c>
      <c r="J92" t="s">
        <v>22</v>
      </c>
      <c r="K92">
        <v>2019</v>
      </c>
      <c r="M92" t="str">
        <v>Government</v>
      </c>
      <c r="N92" t="str">
        <v>Canada</v>
      </c>
      <c r="O92" t="str">
        <v>Amarilla</v>
      </c>
      <c r="P92" t="str">
        <v>Medium</v>
      </c>
      <c r="Q92">
        <v>1269</v>
      </c>
      <c r="R92">
        <v>350</v>
      </c>
      <c r="S92">
        <v>444150</v>
      </c>
      <c r="T92">
        <v>404176.5</v>
      </c>
      <c r="U92">
        <v>74236.5</v>
      </c>
      <c r="V92" t="str">
        <v>Oct</v>
      </c>
      <c r="W92">
        <v>2019</v>
      </c>
    </row>
    <row r="93" spans="1:23" hidden="1" x14ac:dyDescent="0.3">
      <c r="A93" t="s">
        <v>17</v>
      </c>
      <c r="B93" t="s">
        <v>42</v>
      </c>
      <c r="C93" t="s">
        <v>20</v>
      </c>
      <c r="D93" t="s">
        <v>27</v>
      </c>
      <c r="E93" s="1">
        <v>663</v>
      </c>
      <c r="F93" s="1">
        <v>125</v>
      </c>
      <c r="G93" s="1">
        <v>82875</v>
      </c>
      <c r="H93" s="1">
        <v>82046.25</v>
      </c>
      <c r="I93" s="1">
        <v>2486.25</v>
      </c>
      <c r="J93" t="s">
        <v>10</v>
      </c>
      <c r="K93">
        <v>2018</v>
      </c>
      <c r="M93" t="str">
        <v>Government</v>
      </c>
      <c r="N93" t="str">
        <v>Canada</v>
      </c>
      <c r="O93" t="str">
        <v>Carretera</v>
      </c>
      <c r="P93" t="str">
        <v>Medium</v>
      </c>
      <c r="Q93">
        <v>819</v>
      </c>
      <c r="R93">
        <v>7</v>
      </c>
      <c r="S93">
        <v>5733</v>
      </c>
      <c r="T93">
        <v>5217.03</v>
      </c>
      <c r="U93">
        <v>1122.03</v>
      </c>
      <c r="V93" t="str">
        <v>Jul</v>
      </c>
      <c r="W93">
        <v>2019</v>
      </c>
    </row>
    <row r="94" spans="1:23" hidden="1" x14ac:dyDescent="0.3">
      <c r="A94" t="s">
        <v>6</v>
      </c>
      <c r="B94" t="s">
        <v>40</v>
      </c>
      <c r="C94" t="s">
        <v>20</v>
      </c>
      <c r="D94" t="s">
        <v>27</v>
      </c>
      <c r="E94" s="1">
        <v>2092</v>
      </c>
      <c r="F94" s="1">
        <v>7</v>
      </c>
      <c r="G94" s="1">
        <v>14644</v>
      </c>
      <c r="H94" s="1">
        <v>14497.56</v>
      </c>
      <c r="I94" s="1">
        <v>4037.5599999999995</v>
      </c>
      <c r="J94" t="s">
        <v>16</v>
      </c>
      <c r="K94">
        <v>2018</v>
      </c>
      <c r="M94" t="str">
        <v>Midmarket</v>
      </c>
      <c r="N94" t="str">
        <v>Canada</v>
      </c>
      <c r="O94" t="str">
        <v>Amarilla</v>
      </c>
      <c r="P94" t="str">
        <v>Medium</v>
      </c>
      <c r="Q94">
        <v>1630.5</v>
      </c>
      <c r="R94">
        <v>15</v>
      </c>
      <c r="S94">
        <v>24457.5</v>
      </c>
      <c r="T94">
        <v>22256.324999999997</v>
      </c>
      <c r="U94">
        <v>5951.3249999999989</v>
      </c>
      <c r="V94" t="str">
        <v>Jul</v>
      </c>
      <c r="W94">
        <v>2019</v>
      </c>
    </row>
    <row r="95" spans="1:23" hidden="1" x14ac:dyDescent="0.3">
      <c r="A95" t="s">
        <v>6</v>
      </c>
      <c r="B95" t="s">
        <v>41</v>
      </c>
      <c r="C95" t="s">
        <v>2</v>
      </c>
      <c r="D95" t="s">
        <v>27</v>
      </c>
      <c r="E95" s="1">
        <v>263</v>
      </c>
      <c r="F95" s="1">
        <v>7</v>
      </c>
      <c r="G95" s="1">
        <v>1841</v>
      </c>
      <c r="H95" s="1">
        <v>1822.59</v>
      </c>
      <c r="I95" s="1">
        <v>507.58999999999992</v>
      </c>
      <c r="J95" t="s">
        <v>13</v>
      </c>
      <c r="K95">
        <v>2019</v>
      </c>
      <c r="M95" t="str">
        <v>Enterprise</v>
      </c>
      <c r="N95" t="str">
        <v>Canada</v>
      </c>
      <c r="O95" t="str">
        <v>Velo</v>
      </c>
      <c r="P95" t="str">
        <v>High</v>
      </c>
      <c r="Q95">
        <v>1916</v>
      </c>
      <c r="R95">
        <v>125</v>
      </c>
      <c r="S95">
        <v>239500</v>
      </c>
      <c r="T95">
        <v>215550</v>
      </c>
      <c r="U95">
        <v>-14370</v>
      </c>
      <c r="V95" t="str">
        <v>Dec</v>
      </c>
      <c r="W95">
        <v>2018</v>
      </c>
    </row>
    <row r="96" spans="1:23" hidden="1" x14ac:dyDescent="0.3">
      <c r="A96" t="s">
        <v>6</v>
      </c>
      <c r="B96" t="s">
        <v>40</v>
      </c>
      <c r="C96" t="s">
        <v>2</v>
      </c>
      <c r="D96" t="s">
        <v>27</v>
      </c>
      <c r="E96" s="1">
        <v>943.5</v>
      </c>
      <c r="F96" s="1">
        <v>350</v>
      </c>
      <c r="G96" s="1">
        <v>330225</v>
      </c>
      <c r="H96" s="1">
        <v>326922.75</v>
      </c>
      <c r="I96" s="1">
        <v>81612.75</v>
      </c>
      <c r="J96" t="s">
        <v>4</v>
      </c>
      <c r="K96">
        <v>2019</v>
      </c>
      <c r="M96" t="str">
        <v>Enterprise</v>
      </c>
      <c r="N96" t="str">
        <v>Canada</v>
      </c>
      <c r="O96" t="str">
        <v>VTT</v>
      </c>
      <c r="P96" t="str">
        <v>High</v>
      </c>
      <c r="Q96">
        <v>2529</v>
      </c>
      <c r="R96">
        <v>125</v>
      </c>
      <c r="S96">
        <v>316125</v>
      </c>
      <c r="T96">
        <v>284512.5</v>
      </c>
      <c r="U96">
        <v>-18967.5</v>
      </c>
      <c r="V96" t="str">
        <v>Nov</v>
      </c>
      <c r="W96">
        <v>2019</v>
      </c>
    </row>
    <row r="97" spans="1:23" hidden="1" x14ac:dyDescent="0.3">
      <c r="A97" t="s">
        <v>17</v>
      </c>
      <c r="B97" t="s">
        <v>42</v>
      </c>
      <c r="C97" t="s">
        <v>2</v>
      </c>
      <c r="D97" t="s">
        <v>27</v>
      </c>
      <c r="E97" s="1">
        <v>727</v>
      </c>
      <c r="F97" s="1">
        <v>125</v>
      </c>
      <c r="G97" s="1">
        <v>90875</v>
      </c>
      <c r="H97" s="1">
        <v>89966.25</v>
      </c>
      <c r="I97" s="1">
        <v>2726.25</v>
      </c>
      <c r="J97" t="s">
        <v>25</v>
      </c>
      <c r="K97">
        <v>2019</v>
      </c>
      <c r="M97" t="str">
        <v>Government</v>
      </c>
      <c r="N97" t="str">
        <v>Canada</v>
      </c>
      <c r="O97" t="str">
        <v>Amarilla</v>
      </c>
      <c r="P97" t="str">
        <v>High</v>
      </c>
      <c r="Q97">
        <v>2240</v>
      </c>
      <c r="R97">
        <v>350</v>
      </c>
      <c r="S97">
        <v>784000</v>
      </c>
      <c r="T97">
        <v>705600</v>
      </c>
      <c r="U97">
        <v>123200</v>
      </c>
      <c r="V97" t="str">
        <v>Feb</v>
      </c>
      <c r="W97">
        <v>2019</v>
      </c>
    </row>
    <row r="98" spans="1:23" hidden="1" x14ac:dyDescent="0.3">
      <c r="A98" t="s">
        <v>17</v>
      </c>
      <c r="B98" t="s">
        <v>14</v>
      </c>
      <c r="C98" t="s">
        <v>2</v>
      </c>
      <c r="D98" t="s">
        <v>27</v>
      </c>
      <c r="E98" s="1">
        <v>787</v>
      </c>
      <c r="F98" s="1">
        <v>125</v>
      </c>
      <c r="G98" s="1">
        <v>98375</v>
      </c>
      <c r="H98" s="1">
        <v>97391.25</v>
      </c>
      <c r="I98" s="1">
        <v>2951.25</v>
      </c>
      <c r="J98" t="s">
        <v>25</v>
      </c>
      <c r="K98">
        <v>2019</v>
      </c>
      <c r="M98" t="str">
        <v>Channel Partners</v>
      </c>
      <c r="N98" t="str">
        <v>Canada</v>
      </c>
      <c r="O98" t="str">
        <v>Amarilla</v>
      </c>
      <c r="P98" t="str">
        <v>High</v>
      </c>
      <c r="Q98">
        <v>3520.5</v>
      </c>
      <c r="R98">
        <v>12</v>
      </c>
      <c r="S98">
        <v>42246</v>
      </c>
      <c r="T98">
        <v>38021.399999999994</v>
      </c>
      <c r="U98">
        <v>27459.899999999998</v>
      </c>
      <c r="V98" t="str">
        <v>Apr</v>
      </c>
      <c r="W98">
        <v>2019</v>
      </c>
    </row>
    <row r="99" spans="1:23" hidden="1" x14ac:dyDescent="0.3">
      <c r="A99" t="s">
        <v>12</v>
      </c>
      <c r="B99" t="s">
        <v>41</v>
      </c>
      <c r="C99" t="s">
        <v>2</v>
      </c>
      <c r="D99" t="s">
        <v>27</v>
      </c>
      <c r="E99" s="1">
        <v>986</v>
      </c>
      <c r="F99" s="1">
        <v>300</v>
      </c>
      <c r="G99" s="1">
        <v>295800</v>
      </c>
      <c r="H99" s="1">
        <v>292842</v>
      </c>
      <c r="I99" s="1">
        <v>46342</v>
      </c>
      <c r="J99" t="s">
        <v>21</v>
      </c>
      <c r="K99">
        <v>2019</v>
      </c>
      <c r="M99" t="str">
        <v>Government</v>
      </c>
      <c r="N99" t="str">
        <v>Canada</v>
      </c>
      <c r="O99" t="str">
        <v>Amarilla</v>
      </c>
      <c r="P99" t="str">
        <v>High</v>
      </c>
      <c r="Q99">
        <v>707</v>
      </c>
      <c r="R99">
        <v>350</v>
      </c>
      <c r="S99">
        <v>247450</v>
      </c>
      <c r="T99">
        <v>222705</v>
      </c>
      <c r="U99">
        <v>38885</v>
      </c>
      <c r="V99" t="str">
        <v>Sep</v>
      </c>
      <c r="W99">
        <v>2019</v>
      </c>
    </row>
    <row r="100" spans="1:23" hidden="1" x14ac:dyDescent="0.3">
      <c r="A100" t="s">
        <v>12</v>
      </c>
      <c r="B100" t="s">
        <v>9</v>
      </c>
      <c r="C100" t="s">
        <v>2</v>
      </c>
      <c r="D100" t="s">
        <v>27</v>
      </c>
      <c r="E100" s="1">
        <v>494</v>
      </c>
      <c r="F100" s="1">
        <v>300</v>
      </c>
      <c r="G100" s="1">
        <v>148200</v>
      </c>
      <c r="H100" s="1">
        <v>146718</v>
      </c>
      <c r="I100" s="1">
        <v>23218</v>
      </c>
      <c r="J100" t="s">
        <v>10</v>
      </c>
      <c r="K100">
        <v>2018</v>
      </c>
      <c r="M100" t="str">
        <v>Midmarket</v>
      </c>
      <c r="N100" t="str">
        <v>Canada</v>
      </c>
      <c r="O100" t="str">
        <v>Velo</v>
      </c>
      <c r="P100" t="str">
        <v>High</v>
      </c>
      <c r="Q100">
        <v>384</v>
      </c>
      <c r="R100">
        <v>15</v>
      </c>
      <c r="S100">
        <v>5760</v>
      </c>
      <c r="T100">
        <v>5126.3999999999996</v>
      </c>
      <c r="U100">
        <v>1286.3999999999999</v>
      </c>
      <c r="V100" t="str">
        <v>Jan</v>
      </c>
      <c r="W100">
        <v>2019</v>
      </c>
    </row>
    <row r="101" spans="1:23" hidden="1" x14ac:dyDescent="0.3">
      <c r="A101" t="s">
        <v>6</v>
      </c>
      <c r="B101" t="s">
        <v>9</v>
      </c>
      <c r="C101" t="s">
        <v>2</v>
      </c>
      <c r="D101" t="s">
        <v>27</v>
      </c>
      <c r="E101" s="1">
        <v>1397</v>
      </c>
      <c r="F101" s="1">
        <v>350</v>
      </c>
      <c r="G101" s="1">
        <v>488950</v>
      </c>
      <c r="H101" s="1">
        <v>484060.5</v>
      </c>
      <c r="I101" s="1">
        <v>120840.5</v>
      </c>
      <c r="J101" t="s">
        <v>10</v>
      </c>
      <c r="K101">
        <v>2019</v>
      </c>
      <c r="M101" t="str">
        <v>Channel Partners</v>
      </c>
      <c r="N101" t="str">
        <v>Canada</v>
      </c>
      <c r="O101" t="str">
        <v>Carretera</v>
      </c>
      <c r="P101" t="str">
        <v>High</v>
      </c>
      <c r="Q101">
        <v>1937</v>
      </c>
      <c r="R101">
        <v>12</v>
      </c>
      <c r="S101">
        <v>23244</v>
      </c>
      <c r="T101">
        <v>20687.16</v>
      </c>
      <c r="U101">
        <v>14876.16</v>
      </c>
      <c r="V101" t="str">
        <v>Feb</v>
      </c>
      <c r="W101">
        <v>2019</v>
      </c>
    </row>
    <row r="102" spans="1:23" hidden="1" x14ac:dyDescent="0.3">
      <c r="A102" t="s">
        <v>17</v>
      </c>
      <c r="B102" t="s">
        <v>14</v>
      </c>
      <c r="C102" t="s">
        <v>2</v>
      </c>
      <c r="D102" t="s">
        <v>27</v>
      </c>
      <c r="E102" s="1">
        <v>1744</v>
      </c>
      <c r="F102" s="1">
        <v>125</v>
      </c>
      <c r="G102" s="1">
        <v>218000</v>
      </c>
      <c r="H102" s="1">
        <v>215820</v>
      </c>
      <c r="I102" s="1">
        <v>6540</v>
      </c>
      <c r="J102" t="s">
        <v>16</v>
      </c>
      <c r="K102">
        <v>2019</v>
      </c>
      <c r="M102" t="str">
        <v>Midmarket</v>
      </c>
      <c r="N102" t="str">
        <v>Canada</v>
      </c>
      <c r="O102" t="str">
        <v>Carretera</v>
      </c>
      <c r="P102" t="str">
        <v>High</v>
      </c>
      <c r="Q102">
        <v>1560</v>
      </c>
      <c r="R102">
        <v>15</v>
      </c>
      <c r="S102">
        <v>23400</v>
      </c>
      <c r="T102">
        <v>20826</v>
      </c>
      <c r="U102">
        <v>5226</v>
      </c>
      <c r="V102" t="str">
        <v>Nov</v>
      </c>
      <c r="W102">
        <v>2018</v>
      </c>
    </row>
    <row r="103" spans="1:23" hidden="1" x14ac:dyDescent="0.3">
      <c r="A103" t="s">
        <v>3</v>
      </c>
      <c r="B103" t="s">
        <v>42</v>
      </c>
      <c r="C103" t="s">
        <v>11</v>
      </c>
      <c r="D103" t="s">
        <v>27</v>
      </c>
      <c r="E103" s="1">
        <v>1989</v>
      </c>
      <c r="F103" s="1">
        <v>12</v>
      </c>
      <c r="G103" s="1">
        <v>23868</v>
      </c>
      <c r="H103" s="1">
        <v>23629.32</v>
      </c>
      <c r="I103" s="1">
        <v>17662.32</v>
      </c>
      <c r="J103" t="s">
        <v>21</v>
      </c>
      <c r="K103">
        <v>2018</v>
      </c>
      <c r="M103" t="str">
        <v>Small Business</v>
      </c>
      <c r="N103" t="str">
        <v>Canada</v>
      </c>
      <c r="O103" t="str">
        <v>Paseo</v>
      </c>
      <c r="P103" t="str">
        <v>High</v>
      </c>
      <c r="Q103">
        <v>873</v>
      </c>
      <c r="R103">
        <v>300</v>
      </c>
      <c r="S103">
        <v>261900</v>
      </c>
      <c r="T103">
        <v>233091</v>
      </c>
      <c r="U103">
        <v>14841</v>
      </c>
      <c r="V103" t="str">
        <v>Jan</v>
      </c>
      <c r="W103">
        <v>2019</v>
      </c>
    </row>
    <row r="104" spans="1:23" hidden="1" x14ac:dyDescent="0.3">
      <c r="A104" t="s">
        <v>18</v>
      </c>
      <c r="B104" t="s">
        <v>14</v>
      </c>
      <c r="C104" t="s">
        <v>11</v>
      </c>
      <c r="D104" t="s">
        <v>27</v>
      </c>
      <c r="E104" s="1">
        <v>321</v>
      </c>
      <c r="F104" s="1">
        <v>15</v>
      </c>
      <c r="G104" s="1">
        <v>4815</v>
      </c>
      <c r="H104" s="1">
        <v>4766.8500000000004</v>
      </c>
      <c r="I104" s="1">
        <v>1556.8500000000004</v>
      </c>
      <c r="J104" t="s">
        <v>16</v>
      </c>
      <c r="K104">
        <v>2018</v>
      </c>
      <c r="M104" t="str">
        <v>Government</v>
      </c>
      <c r="N104" t="str">
        <v>Canada</v>
      </c>
      <c r="O104" t="str">
        <v>Paseo</v>
      </c>
      <c r="P104" t="str">
        <v>High</v>
      </c>
      <c r="Q104">
        <v>2104.5</v>
      </c>
      <c r="R104">
        <v>350</v>
      </c>
      <c r="S104">
        <v>736575</v>
      </c>
      <c r="T104">
        <v>655551.75</v>
      </c>
      <c r="U104">
        <v>108381.75</v>
      </c>
      <c r="V104" t="str">
        <v>Jul</v>
      </c>
      <c r="W104">
        <v>2019</v>
      </c>
    </row>
    <row r="105" spans="1:23" hidden="1" x14ac:dyDescent="0.3">
      <c r="A105" t="s">
        <v>17</v>
      </c>
      <c r="B105" t="s">
        <v>40</v>
      </c>
      <c r="C105" t="s">
        <v>23</v>
      </c>
      <c r="D105" t="s">
        <v>27</v>
      </c>
      <c r="E105" s="1">
        <v>742.5</v>
      </c>
      <c r="F105" s="1">
        <v>125</v>
      </c>
      <c r="G105" s="1">
        <v>92812.5</v>
      </c>
      <c r="H105" s="1">
        <v>90956.25</v>
      </c>
      <c r="I105" s="1">
        <v>1856.25</v>
      </c>
      <c r="J105" t="s">
        <v>4</v>
      </c>
      <c r="K105">
        <v>2019</v>
      </c>
      <c r="M105" t="str">
        <v>Channel Partners</v>
      </c>
      <c r="N105" t="str">
        <v>Canada</v>
      </c>
      <c r="O105" t="str">
        <v>Paseo</v>
      </c>
      <c r="P105" t="str">
        <v>High</v>
      </c>
      <c r="Q105">
        <v>4026</v>
      </c>
      <c r="R105">
        <v>12</v>
      </c>
      <c r="S105">
        <v>48312</v>
      </c>
      <c r="T105">
        <v>42997.68</v>
      </c>
      <c r="U105">
        <v>30919.68</v>
      </c>
      <c r="V105" t="str">
        <v>Jul</v>
      </c>
      <c r="W105">
        <v>2019</v>
      </c>
    </row>
    <row r="106" spans="1:23" x14ac:dyDescent="0.3">
      <c r="A106" t="s">
        <v>3</v>
      </c>
      <c r="B106" t="s">
        <v>40</v>
      </c>
      <c r="C106" t="s">
        <v>23</v>
      </c>
      <c r="D106" t="s">
        <v>27</v>
      </c>
      <c r="E106" s="1">
        <v>1295</v>
      </c>
      <c r="F106" s="1">
        <v>12</v>
      </c>
      <c r="G106" s="1">
        <v>15540</v>
      </c>
      <c r="H106" s="1">
        <v>15229.2</v>
      </c>
      <c r="I106" s="1">
        <v>11344.2</v>
      </c>
      <c r="J106" t="s">
        <v>10</v>
      </c>
      <c r="K106">
        <v>2019</v>
      </c>
      <c r="M106" t="str">
        <v>Government</v>
      </c>
      <c r="N106" t="str">
        <v>Canada</v>
      </c>
      <c r="O106" t="str">
        <v>Paseo</v>
      </c>
      <c r="P106" t="str">
        <v>High</v>
      </c>
      <c r="Q106">
        <v>2394</v>
      </c>
      <c r="R106">
        <v>20</v>
      </c>
      <c r="S106">
        <v>47880</v>
      </c>
      <c r="T106">
        <v>42613.2</v>
      </c>
      <c r="U106">
        <v>18673.199999999997</v>
      </c>
      <c r="V106" t="str">
        <v>Aug</v>
      </c>
      <c r="W106">
        <v>2019</v>
      </c>
    </row>
    <row r="107" spans="1:23" hidden="1" x14ac:dyDescent="0.3">
      <c r="A107" t="s">
        <v>12</v>
      </c>
      <c r="B107" t="s">
        <v>41</v>
      </c>
      <c r="C107" t="s">
        <v>23</v>
      </c>
      <c r="D107" t="s">
        <v>27</v>
      </c>
      <c r="E107" s="1">
        <v>214</v>
      </c>
      <c r="F107" s="1">
        <v>300</v>
      </c>
      <c r="G107" s="1">
        <v>64200</v>
      </c>
      <c r="H107" s="1">
        <v>62916</v>
      </c>
      <c r="I107" s="1">
        <v>9416</v>
      </c>
      <c r="J107" t="s">
        <v>10</v>
      </c>
      <c r="K107">
        <v>2018</v>
      </c>
      <c r="M107" t="str">
        <v>Small Business</v>
      </c>
      <c r="N107" t="str">
        <v>Canada</v>
      </c>
      <c r="O107" t="str">
        <v>Paseo</v>
      </c>
      <c r="P107" t="str">
        <v>High</v>
      </c>
      <c r="Q107">
        <v>1366</v>
      </c>
      <c r="R107">
        <v>300</v>
      </c>
      <c r="S107">
        <v>409800</v>
      </c>
      <c r="T107">
        <v>364722</v>
      </c>
      <c r="U107">
        <v>23222</v>
      </c>
      <c r="V107" t="str">
        <v>Nov</v>
      </c>
      <c r="W107">
        <v>2019</v>
      </c>
    </row>
    <row r="108" spans="1:23" hidden="1" x14ac:dyDescent="0.3">
      <c r="A108" t="s">
        <v>6</v>
      </c>
      <c r="B108" t="s">
        <v>14</v>
      </c>
      <c r="C108" t="s">
        <v>23</v>
      </c>
      <c r="D108" t="s">
        <v>27</v>
      </c>
      <c r="E108" s="1">
        <v>2145</v>
      </c>
      <c r="F108" s="1">
        <v>7</v>
      </c>
      <c r="G108" s="1">
        <v>15015</v>
      </c>
      <c r="H108" s="1">
        <v>14714.7</v>
      </c>
      <c r="I108" s="1">
        <v>3989.7000000000007</v>
      </c>
      <c r="J108" t="s">
        <v>16</v>
      </c>
      <c r="K108">
        <v>2018</v>
      </c>
      <c r="M108" t="str">
        <v>Government</v>
      </c>
      <c r="N108" t="str">
        <v>Canada</v>
      </c>
      <c r="O108" t="str">
        <v>Velo</v>
      </c>
      <c r="P108" t="str">
        <v>High</v>
      </c>
      <c r="Q108">
        <v>1808</v>
      </c>
      <c r="R108">
        <v>7</v>
      </c>
      <c r="S108">
        <v>12656</v>
      </c>
      <c r="T108">
        <v>11263.84</v>
      </c>
      <c r="U108">
        <v>2223.84</v>
      </c>
      <c r="V108" t="str">
        <v>Nov</v>
      </c>
      <c r="W108">
        <v>2019</v>
      </c>
    </row>
    <row r="109" spans="1:23" hidden="1" x14ac:dyDescent="0.3">
      <c r="A109" t="s">
        <v>6</v>
      </c>
      <c r="B109" t="s">
        <v>40</v>
      </c>
      <c r="C109" t="s">
        <v>23</v>
      </c>
      <c r="D109" t="s">
        <v>27</v>
      </c>
      <c r="E109" s="1">
        <v>2852</v>
      </c>
      <c r="F109" s="1">
        <v>350</v>
      </c>
      <c r="G109" s="1">
        <v>998200</v>
      </c>
      <c r="H109" s="1">
        <v>978236</v>
      </c>
      <c r="I109" s="1">
        <v>236716</v>
      </c>
      <c r="J109" t="s">
        <v>15</v>
      </c>
      <c r="K109">
        <v>2019</v>
      </c>
      <c r="M109" t="str">
        <v>Government</v>
      </c>
      <c r="N109" t="str">
        <v>Canada</v>
      </c>
      <c r="O109" t="str">
        <v>VTT</v>
      </c>
      <c r="P109" t="str">
        <v>High</v>
      </c>
      <c r="Q109">
        <v>2935</v>
      </c>
      <c r="R109">
        <v>20</v>
      </c>
      <c r="S109">
        <v>58700</v>
      </c>
      <c r="T109">
        <v>52243</v>
      </c>
      <c r="U109">
        <v>22893</v>
      </c>
      <c r="V109" t="str">
        <v>Nov</v>
      </c>
      <c r="W109">
        <v>2018</v>
      </c>
    </row>
    <row r="110" spans="1:23" hidden="1" x14ac:dyDescent="0.3">
      <c r="A110" t="s">
        <v>3</v>
      </c>
      <c r="B110" t="s">
        <v>42</v>
      </c>
      <c r="C110" t="s">
        <v>8</v>
      </c>
      <c r="D110" t="s">
        <v>27</v>
      </c>
      <c r="E110" s="1">
        <v>1142</v>
      </c>
      <c r="F110" s="1">
        <v>12</v>
      </c>
      <c r="G110" s="1">
        <v>13704</v>
      </c>
      <c r="H110" s="1">
        <v>13429.92</v>
      </c>
      <c r="I110" s="1">
        <v>10003.92</v>
      </c>
      <c r="J110" t="s">
        <v>25</v>
      </c>
      <c r="K110">
        <v>2019</v>
      </c>
      <c r="M110" t="str">
        <v>Enterprise</v>
      </c>
      <c r="N110" t="str">
        <v>Canada</v>
      </c>
      <c r="O110" t="str">
        <v>Carretera</v>
      </c>
      <c r="P110" t="str">
        <v>High</v>
      </c>
      <c r="Q110">
        <v>2416</v>
      </c>
      <c r="R110">
        <v>125</v>
      </c>
      <c r="S110">
        <v>302000</v>
      </c>
      <c r="T110">
        <v>265760</v>
      </c>
      <c r="U110">
        <v>-24160</v>
      </c>
      <c r="V110" t="str">
        <v>Sep</v>
      </c>
      <c r="W110">
        <v>2018</v>
      </c>
    </row>
    <row r="111" spans="1:23" hidden="1" x14ac:dyDescent="0.3">
      <c r="A111" t="s">
        <v>6</v>
      </c>
      <c r="B111" t="s">
        <v>42</v>
      </c>
      <c r="C111" t="s">
        <v>8</v>
      </c>
      <c r="D111" t="s">
        <v>27</v>
      </c>
      <c r="E111" s="1">
        <v>1566</v>
      </c>
      <c r="F111" s="1">
        <v>20</v>
      </c>
      <c r="G111" s="1">
        <v>31320</v>
      </c>
      <c r="H111" s="1">
        <v>30693.599999999999</v>
      </c>
      <c r="I111" s="1">
        <v>15033.599999999999</v>
      </c>
      <c r="J111" t="s">
        <v>10</v>
      </c>
      <c r="K111">
        <v>2019</v>
      </c>
      <c r="M111" t="str">
        <v>Midmarket</v>
      </c>
      <c r="N111" t="str">
        <v>Canada</v>
      </c>
      <c r="O111" t="str">
        <v>Carretera</v>
      </c>
      <c r="P111" t="str">
        <v>High</v>
      </c>
      <c r="Q111">
        <v>2689</v>
      </c>
      <c r="R111">
        <v>15</v>
      </c>
      <c r="S111">
        <v>40335</v>
      </c>
      <c r="T111">
        <v>35494.800000000003</v>
      </c>
      <c r="U111">
        <v>8604.8000000000029</v>
      </c>
      <c r="V111" t="str">
        <v>Nov</v>
      </c>
      <c r="W111">
        <v>2019</v>
      </c>
    </row>
    <row r="112" spans="1:23" hidden="1" x14ac:dyDescent="0.3">
      <c r="A112" t="s">
        <v>3</v>
      </c>
      <c r="B112" t="s">
        <v>9</v>
      </c>
      <c r="C112" t="s">
        <v>8</v>
      </c>
      <c r="D112" t="s">
        <v>27</v>
      </c>
      <c r="E112" s="1">
        <v>690</v>
      </c>
      <c r="F112" s="1">
        <v>12</v>
      </c>
      <c r="G112" s="1">
        <v>8280</v>
      </c>
      <c r="H112" s="1">
        <v>8114.4</v>
      </c>
      <c r="I112" s="1">
        <v>6044.4</v>
      </c>
      <c r="J112" t="s">
        <v>16</v>
      </c>
      <c r="K112">
        <v>2019</v>
      </c>
      <c r="M112" t="str">
        <v>Government</v>
      </c>
      <c r="N112" t="str">
        <v>Canada</v>
      </c>
      <c r="O112" t="str">
        <v>Montana</v>
      </c>
      <c r="P112" t="str">
        <v>High</v>
      </c>
      <c r="Q112">
        <v>2734</v>
      </c>
      <c r="R112">
        <v>7</v>
      </c>
      <c r="S112">
        <v>19138</v>
      </c>
      <c r="T112">
        <v>16841.439999999999</v>
      </c>
      <c r="U112">
        <v>3171.4399999999987</v>
      </c>
      <c r="V112" t="str">
        <v>Oct</v>
      </c>
      <c r="W112">
        <v>2019</v>
      </c>
    </row>
    <row r="113" spans="1:23" hidden="1" x14ac:dyDescent="0.3">
      <c r="A113" t="s">
        <v>17</v>
      </c>
      <c r="B113" t="s">
        <v>9</v>
      </c>
      <c r="C113" t="s">
        <v>8</v>
      </c>
      <c r="D113" t="s">
        <v>27</v>
      </c>
      <c r="E113" s="1">
        <v>1660</v>
      </c>
      <c r="F113" s="1">
        <v>125</v>
      </c>
      <c r="G113" s="1">
        <v>207500</v>
      </c>
      <c r="H113" s="1">
        <v>203350</v>
      </c>
      <c r="I113" s="1">
        <v>4150</v>
      </c>
      <c r="J113" t="s">
        <v>16</v>
      </c>
      <c r="K113">
        <v>2018</v>
      </c>
      <c r="M113" t="str">
        <v>Channel Partners</v>
      </c>
      <c r="N113" t="str">
        <v>Canada</v>
      </c>
      <c r="O113" t="str">
        <v>VTT</v>
      </c>
      <c r="P113" t="str">
        <v>High</v>
      </c>
      <c r="Q113">
        <v>2109</v>
      </c>
      <c r="R113">
        <v>12</v>
      </c>
      <c r="S113">
        <v>25308</v>
      </c>
      <c r="T113">
        <v>22271.040000000001</v>
      </c>
      <c r="U113">
        <v>15944.04</v>
      </c>
      <c r="V113" t="str">
        <v>May</v>
      </c>
      <c r="W113">
        <v>2019</v>
      </c>
    </row>
    <row r="114" spans="1:23" hidden="1" x14ac:dyDescent="0.3">
      <c r="A114" t="s">
        <v>18</v>
      </c>
      <c r="B114" t="s">
        <v>40</v>
      </c>
      <c r="C114" t="s">
        <v>5</v>
      </c>
      <c r="D114" t="s">
        <v>27</v>
      </c>
      <c r="E114" s="1">
        <v>2363</v>
      </c>
      <c r="F114" s="1">
        <v>15</v>
      </c>
      <c r="G114" s="1">
        <v>35445</v>
      </c>
      <c r="H114" s="1">
        <v>34736.1</v>
      </c>
      <c r="I114" s="1">
        <v>11106.099999999999</v>
      </c>
      <c r="J114" t="s">
        <v>7</v>
      </c>
      <c r="K114">
        <v>2019</v>
      </c>
      <c r="M114" t="str">
        <v>Government</v>
      </c>
      <c r="N114" t="str">
        <v>Canada</v>
      </c>
      <c r="O114" t="str">
        <v>VTT</v>
      </c>
      <c r="P114" t="str">
        <v>High</v>
      </c>
      <c r="Q114">
        <v>623</v>
      </c>
      <c r="R114">
        <v>350</v>
      </c>
      <c r="S114">
        <v>218050</v>
      </c>
      <c r="T114">
        <v>191884</v>
      </c>
      <c r="U114">
        <v>29904</v>
      </c>
      <c r="V114" t="str">
        <v>Sep</v>
      </c>
      <c r="W114">
        <v>2018</v>
      </c>
    </row>
    <row r="115" spans="1:23" hidden="1" x14ac:dyDescent="0.3">
      <c r="A115" t="s">
        <v>12</v>
      </c>
      <c r="B115" t="s">
        <v>14</v>
      </c>
      <c r="C115" t="s">
        <v>5</v>
      </c>
      <c r="D115" t="s">
        <v>27</v>
      </c>
      <c r="E115" s="1">
        <v>918</v>
      </c>
      <c r="F115" s="1">
        <v>300</v>
      </c>
      <c r="G115" s="1">
        <v>275400</v>
      </c>
      <c r="H115" s="1">
        <v>269892</v>
      </c>
      <c r="I115" s="1">
        <v>40392</v>
      </c>
      <c r="J115" t="s">
        <v>0</v>
      </c>
      <c r="K115">
        <v>2019</v>
      </c>
      <c r="M115" t="str">
        <v>Government</v>
      </c>
      <c r="N115" t="str">
        <v>Canada</v>
      </c>
      <c r="O115" t="str">
        <v>Amarilla</v>
      </c>
      <c r="P115" t="str">
        <v>High</v>
      </c>
      <c r="Q115">
        <v>2734</v>
      </c>
      <c r="R115">
        <v>7</v>
      </c>
      <c r="S115">
        <v>19138</v>
      </c>
      <c r="T115">
        <v>16841.439999999999</v>
      </c>
      <c r="U115">
        <v>3171.4399999999987</v>
      </c>
      <c r="V115" t="str">
        <v>Oct</v>
      </c>
      <c r="W115">
        <v>2019</v>
      </c>
    </row>
    <row r="116" spans="1:23" hidden="1" x14ac:dyDescent="0.3">
      <c r="A116" t="s">
        <v>12</v>
      </c>
      <c r="B116" t="s">
        <v>41</v>
      </c>
      <c r="C116" t="s">
        <v>5</v>
      </c>
      <c r="D116" t="s">
        <v>27</v>
      </c>
      <c r="E116" s="1">
        <v>1728</v>
      </c>
      <c r="F116" s="1">
        <v>300</v>
      </c>
      <c r="G116" s="1">
        <v>518400</v>
      </c>
      <c r="H116" s="1">
        <v>508032</v>
      </c>
      <c r="I116" s="1">
        <v>76032</v>
      </c>
      <c r="J116" t="s">
        <v>0</v>
      </c>
      <c r="K116">
        <v>2019</v>
      </c>
      <c r="M116" t="str">
        <v>Channel Partners</v>
      </c>
      <c r="N116" t="str">
        <v>Canada</v>
      </c>
      <c r="O116" t="str">
        <v>Amarilla</v>
      </c>
      <c r="P116" t="str">
        <v>High</v>
      </c>
      <c r="Q116">
        <v>2761</v>
      </c>
      <c r="R116">
        <v>12</v>
      </c>
      <c r="S116">
        <v>33132</v>
      </c>
      <c r="T116">
        <v>29156.16</v>
      </c>
      <c r="U116">
        <v>20873.16</v>
      </c>
      <c r="V116" t="str">
        <v>Sep</v>
      </c>
      <c r="W116">
        <v>2018</v>
      </c>
    </row>
    <row r="117" spans="1:23" hidden="1" x14ac:dyDescent="0.3">
      <c r="A117" t="s">
        <v>3</v>
      </c>
      <c r="B117" t="s">
        <v>42</v>
      </c>
      <c r="C117" t="s">
        <v>5</v>
      </c>
      <c r="D117" t="s">
        <v>27</v>
      </c>
      <c r="E117" s="1">
        <v>1142</v>
      </c>
      <c r="F117" s="1">
        <v>12</v>
      </c>
      <c r="G117" s="1">
        <v>13704</v>
      </c>
      <c r="H117" s="1">
        <v>13429.92</v>
      </c>
      <c r="I117" s="1">
        <v>10003.92</v>
      </c>
      <c r="J117" t="s">
        <v>25</v>
      </c>
      <c r="K117">
        <v>2019</v>
      </c>
      <c r="M117" t="str">
        <v>Government</v>
      </c>
      <c r="N117" t="str">
        <v>Canada</v>
      </c>
      <c r="O117" t="str">
        <v>Carretera</v>
      </c>
      <c r="P117" t="str">
        <v>High</v>
      </c>
      <c r="Q117">
        <v>923</v>
      </c>
      <c r="R117">
        <v>350</v>
      </c>
      <c r="S117">
        <v>323050</v>
      </c>
      <c r="T117">
        <v>281053.5</v>
      </c>
      <c r="U117">
        <v>41073.5</v>
      </c>
      <c r="V117" t="str">
        <v>Mar</v>
      </c>
      <c r="W117">
        <v>2019</v>
      </c>
    </row>
    <row r="118" spans="1:23" hidden="1" x14ac:dyDescent="0.3">
      <c r="A118" t="s">
        <v>17</v>
      </c>
      <c r="B118" t="s">
        <v>9</v>
      </c>
      <c r="C118" t="s">
        <v>5</v>
      </c>
      <c r="D118" t="s">
        <v>27</v>
      </c>
      <c r="E118" s="1">
        <v>662</v>
      </c>
      <c r="F118" s="1">
        <v>125</v>
      </c>
      <c r="G118" s="1">
        <v>82750</v>
      </c>
      <c r="H118" s="1">
        <v>81095</v>
      </c>
      <c r="I118" s="1">
        <v>1655</v>
      </c>
      <c r="J118" t="s">
        <v>25</v>
      </c>
      <c r="K118">
        <v>2019</v>
      </c>
      <c r="M118" t="str">
        <v>Government</v>
      </c>
      <c r="N118" t="str">
        <v>Canada</v>
      </c>
      <c r="O118" t="str">
        <v>Montana</v>
      </c>
      <c r="P118" t="str">
        <v>High</v>
      </c>
      <c r="Q118">
        <v>1249</v>
      </c>
      <c r="R118">
        <v>20</v>
      </c>
      <c r="S118">
        <v>24980</v>
      </c>
      <c r="T118">
        <v>21732.6</v>
      </c>
      <c r="U118">
        <v>9242.5999999999985</v>
      </c>
      <c r="V118" t="str">
        <v>Oct</v>
      </c>
      <c r="W118">
        <v>2019</v>
      </c>
    </row>
    <row r="119" spans="1:23" x14ac:dyDescent="0.3">
      <c r="A119" t="s">
        <v>3</v>
      </c>
      <c r="B119" t="s">
        <v>40</v>
      </c>
      <c r="C119" t="s">
        <v>5</v>
      </c>
      <c r="D119" t="s">
        <v>27</v>
      </c>
      <c r="E119" s="1">
        <v>1295</v>
      </c>
      <c r="F119" s="1">
        <v>12</v>
      </c>
      <c r="G119" s="1">
        <v>15540</v>
      </c>
      <c r="H119" s="1">
        <v>15229.2</v>
      </c>
      <c r="I119" s="1">
        <v>11344.2</v>
      </c>
      <c r="J119" t="s">
        <v>10</v>
      </c>
      <c r="K119">
        <v>2019</v>
      </c>
      <c r="M119" t="str">
        <v>Government</v>
      </c>
      <c r="N119" t="str">
        <v>Canada</v>
      </c>
      <c r="O119" t="str">
        <v>Paseo</v>
      </c>
      <c r="P119" t="str">
        <v>High</v>
      </c>
      <c r="Q119">
        <v>2632</v>
      </c>
      <c r="R119">
        <v>350</v>
      </c>
      <c r="S119">
        <v>921200</v>
      </c>
      <c r="T119">
        <v>801444</v>
      </c>
      <c r="U119">
        <v>117124</v>
      </c>
      <c r="V119" t="str">
        <v>Jun</v>
      </c>
      <c r="W119">
        <v>2019</v>
      </c>
    </row>
    <row r="120" spans="1:23" hidden="1" x14ac:dyDescent="0.3">
      <c r="A120" t="s">
        <v>17</v>
      </c>
      <c r="B120" t="s">
        <v>41</v>
      </c>
      <c r="C120" t="s">
        <v>5</v>
      </c>
      <c r="D120" t="s">
        <v>27</v>
      </c>
      <c r="E120" s="1">
        <v>809</v>
      </c>
      <c r="F120" s="1">
        <v>125</v>
      </c>
      <c r="G120" s="1">
        <v>101125</v>
      </c>
      <c r="H120" s="1">
        <v>99102.5</v>
      </c>
      <c r="I120" s="1">
        <v>2022.5</v>
      </c>
      <c r="J120" t="s">
        <v>10</v>
      </c>
      <c r="K120">
        <v>2018</v>
      </c>
      <c r="M120" t="str">
        <v>Enterprise</v>
      </c>
      <c r="N120" t="str">
        <v>Canada</v>
      </c>
      <c r="O120" t="str">
        <v>Paseo</v>
      </c>
      <c r="P120" t="str">
        <v>High</v>
      </c>
      <c r="Q120">
        <v>1583</v>
      </c>
      <c r="R120">
        <v>125</v>
      </c>
      <c r="S120">
        <v>197875</v>
      </c>
      <c r="T120">
        <v>172151.25</v>
      </c>
      <c r="U120">
        <v>-17808.75</v>
      </c>
      <c r="V120" t="str">
        <v>Jun</v>
      </c>
      <c r="W120">
        <v>2019</v>
      </c>
    </row>
    <row r="121" spans="1:23" hidden="1" x14ac:dyDescent="0.3">
      <c r="A121" t="s">
        <v>17</v>
      </c>
      <c r="B121" t="s">
        <v>9</v>
      </c>
      <c r="C121" t="s">
        <v>5</v>
      </c>
      <c r="D121" t="s">
        <v>27</v>
      </c>
      <c r="E121" s="1">
        <v>2145</v>
      </c>
      <c r="F121" s="1">
        <v>125</v>
      </c>
      <c r="G121" s="1">
        <v>268125</v>
      </c>
      <c r="H121" s="1">
        <v>262762.5</v>
      </c>
      <c r="I121" s="1">
        <v>5362.5</v>
      </c>
      <c r="J121" t="s">
        <v>10</v>
      </c>
      <c r="K121">
        <v>2018</v>
      </c>
      <c r="M121" t="str">
        <v>Midmarket</v>
      </c>
      <c r="N121" t="str">
        <v>Canada</v>
      </c>
      <c r="O121" t="str">
        <v>Paseo</v>
      </c>
      <c r="P121" t="str">
        <v>High</v>
      </c>
      <c r="Q121">
        <v>1565</v>
      </c>
      <c r="R121">
        <v>15</v>
      </c>
      <c r="S121">
        <v>23475</v>
      </c>
      <c r="T121">
        <v>20423.25</v>
      </c>
      <c r="U121">
        <v>4773.25</v>
      </c>
      <c r="V121" t="str">
        <v>Oct</v>
      </c>
      <c r="W121">
        <v>2019</v>
      </c>
    </row>
    <row r="122" spans="1:23" hidden="1" x14ac:dyDescent="0.3">
      <c r="A122" t="s">
        <v>3</v>
      </c>
      <c r="B122" t="s">
        <v>14</v>
      </c>
      <c r="C122" t="s">
        <v>5</v>
      </c>
      <c r="D122" t="s">
        <v>27</v>
      </c>
      <c r="E122" s="1">
        <v>1785</v>
      </c>
      <c r="F122" s="1">
        <v>12</v>
      </c>
      <c r="G122" s="1">
        <v>21420</v>
      </c>
      <c r="H122" s="1">
        <v>20991.599999999999</v>
      </c>
      <c r="I122" s="1">
        <v>15636.599999999999</v>
      </c>
      <c r="J122" t="s">
        <v>16</v>
      </c>
      <c r="K122">
        <v>2018</v>
      </c>
      <c r="M122" t="str">
        <v>Government</v>
      </c>
      <c r="N122" t="str">
        <v>Canada</v>
      </c>
      <c r="O122" t="str">
        <v>Paseo</v>
      </c>
      <c r="P122" t="str">
        <v>High</v>
      </c>
      <c r="Q122">
        <v>1249</v>
      </c>
      <c r="R122">
        <v>20</v>
      </c>
      <c r="S122">
        <v>24980</v>
      </c>
      <c r="T122">
        <v>21732.6</v>
      </c>
      <c r="U122">
        <v>9242.5999999999985</v>
      </c>
      <c r="V122" t="str">
        <v>Oct</v>
      </c>
      <c r="W122">
        <v>2019</v>
      </c>
    </row>
    <row r="123" spans="1:23" hidden="1" x14ac:dyDescent="0.3">
      <c r="A123" t="s">
        <v>12</v>
      </c>
      <c r="B123" t="s">
        <v>40</v>
      </c>
      <c r="C123" t="s">
        <v>5</v>
      </c>
      <c r="D123" t="s">
        <v>27</v>
      </c>
      <c r="E123" s="1">
        <v>1916</v>
      </c>
      <c r="F123" s="1">
        <v>300</v>
      </c>
      <c r="G123" s="1">
        <v>574800</v>
      </c>
      <c r="H123" s="1">
        <v>563304</v>
      </c>
      <c r="I123" s="1">
        <v>84304</v>
      </c>
      <c r="J123" t="s">
        <v>15</v>
      </c>
      <c r="K123">
        <v>2019</v>
      </c>
      <c r="M123" t="str">
        <v>Government</v>
      </c>
      <c r="N123" t="str">
        <v>Canada</v>
      </c>
      <c r="O123" t="str">
        <v>Velo</v>
      </c>
      <c r="P123" t="str">
        <v>High</v>
      </c>
      <c r="Q123">
        <v>2632</v>
      </c>
      <c r="R123">
        <v>350</v>
      </c>
      <c r="S123">
        <v>921200</v>
      </c>
      <c r="T123">
        <v>801444</v>
      </c>
      <c r="U123">
        <v>117124</v>
      </c>
      <c r="V123" t="str">
        <v>Jun</v>
      </c>
      <c r="W123">
        <v>2019</v>
      </c>
    </row>
    <row r="124" spans="1:23" hidden="1" x14ac:dyDescent="0.3">
      <c r="A124" t="s">
        <v>6</v>
      </c>
      <c r="B124" t="s">
        <v>40</v>
      </c>
      <c r="C124" t="s">
        <v>5</v>
      </c>
      <c r="D124" t="s">
        <v>27</v>
      </c>
      <c r="E124" s="1">
        <v>2852</v>
      </c>
      <c r="F124" s="1">
        <v>350</v>
      </c>
      <c r="G124" s="1">
        <v>998200</v>
      </c>
      <c r="H124" s="1">
        <v>978236</v>
      </c>
      <c r="I124" s="1">
        <v>236716</v>
      </c>
      <c r="J124" t="s">
        <v>15</v>
      </c>
      <c r="K124">
        <v>2019</v>
      </c>
      <c r="M124" t="str">
        <v>Enterprise</v>
      </c>
      <c r="N124" t="str">
        <v>Canada</v>
      </c>
      <c r="O124" t="str">
        <v>VTT</v>
      </c>
      <c r="P124" t="str">
        <v>High</v>
      </c>
      <c r="Q124">
        <v>1583</v>
      </c>
      <c r="R124">
        <v>125</v>
      </c>
      <c r="S124">
        <v>197875</v>
      </c>
      <c r="T124">
        <v>172151.25</v>
      </c>
      <c r="U124">
        <v>-17808.75</v>
      </c>
      <c r="V124" t="str">
        <v>Jun</v>
      </c>
      <c r="W124">
        <v>2019</v>
      </c>
    </row>
    <row r="125" spans="1:23" hidden="1" x14ac:dyDescent="0.3">
      <c r="A125" t="s">
        <v>17</v>
      </c>
      <c r="B125" t="s">
        <v>40</v>
      </c>
      <c r="C125" t="s">
        <v>5</v>
      </c>
      <c r="D125" t="s">
        <v>27</v>
      </c>
      <c r="E125" s="1">
        <v>2729</v>
      </c>
      <c r="F125" s="1">
        <v>125</v>
      </c>
      <c r="G125" s="1">
        <v>341125</v>
      </c>
      <c r="H125" s="1">
        <v>334302.5</v>
      </c>
      <c r="I125" s="1">
        <v>6822.5</v>
      </c>
      <c r="J125" t="s">
        <v>15</v>
      </c>
      <c r="K125">
        <v>2019</v>
      </c>
      <c r="M125" t="str">
        <v>Midmarket</v>
      </c>
      <c r="N125" t="str">
        <v>Canada</v>
      </c>
      <c r="O125" t="str">
        <v>VTT</v>
      </c>
      <c r="P125" t="str">
        <v>High</v>
      </c>
      <c r="Q125">
        <v>1565</v>
      </c>
      <c r="R125">
        <v>15</v>
      </c>
      <c r="S125">
        <v>23475</v>
      </c>
      <c r="T125">
        <v>20423.25</v>
      </c>
      <c r="U125">
        <v>4773.25</v>
      </c>
      <c r="V125" t="str">
        <v>Oct</v>
      </c>
      <c r="W125">
        <v>2019</v>
      </c>
    </row>
    <row r="126" spans="1:23" hidden="1" x14ac:dyDescent="0.3">
      <c r="A126" t="s">
        <v>18</v>
      </c>
      <c r="B126" t="s">
        <v>42</v>
      </c>
      <c r="C126" t="s">
        <v>5</v>
      </c>
      <c r="D126" t="s">
        <v>27</v>
      </c>
      <c r="E126" s="1">
        <v>1925</v>
      </c>
      <c r="F126" s="1">
        <v>15</v>
      </c>
      <c r="G126" s="1">
        <v>28875</v>
      </c>
      <c r="H126" s="1">
        <v>28297.5</v>
      </c>
      <c r="I126" s="1">
        <v>9047.5</v>
      </c>
      <c r="J126" t="s">
        <v>15</v>
      </c>
      <c r="K126">
        <v>2018</v>
      </c>
      <c r="M126" t="str">
        <v>Enterprise</v>
      </c>
      <c r="N126" t="str">
        <v>Canada</v>
      </c>
      <c r="O126" t="str">
        <v>Amarilla</v>
      </c>
      <c r="P126" t="str">
        <v>High</v>
      </c>
      <c r="Q126">
        <v>1659</v>
      </c>
      <c r="R126">
        <v>125</v>
      </c>
      <c r="S126">
        <v>207375</v>
      </c>
      <c r="T126">
        <v>180416.25</v>
      </c>
      <c r="U126">
        <v>-18663.75</v>
      </c>
      <c r="V126" t="str">
        <v>Jan</v>
      </c>
      <c r="W126">
        <v>2019</v>
      </c>
    </row>
    <row r="127" spans="1:23" hidden="1" x14ac:dyDescent="0.3">
      <c r="A127" t="s">
        <v>6</v>
      </c>
      <c r="B127" t="s">
        <v>42</v>
      </c>
      <c r="C127" t="s">
        <v>5</v>
      </c>
      <c r="D127" t="s">
        <v>27</v>
      </c>
      <c r="E127" s="1">
        <v>2013</v>
      </c>
      <c r="F127" s="1">
        <v>7</v>
      </c>
      <c r="G127" s="1">
        <v>14091</v>
      </c>
      <c r="H127" s="1">
        <v>13809.18</v>
      </c>
      <c r="I127" s="1">
        <v>3744.1800000000003</v>
      </c>
      <c r="J127" t="s">
        <v>15</v>
      </c>
      <c r="K127">
        <v>2018</v>
      </c>
      <c r="M127" t="str">
        <v>Government</v>
      </c>
      <c r="N127" t="str">
        <v>Canada</v>
      </c>
      <c r="O127" t="str">
        <v>Paseo</v>
      </c>
      <c r="P127" t="str">
        <v>High</v>
      </c>
      <c r="Q127">
        <v>2428</v>
      </c>
      <c r="R127">
        <v>20</v>
      </c>
      <c r="S127">
        <v>48560</v>
      </c>
      <c r="T127">
        <v>41761.599999999999</v>
      </c>
      <c r="U127">
        <v>17481.599999999999</v>
      </c>
      <c r="V127" t="str">
        <v>Mar</v>
      </c>
      <c r="W127">
        <v>2019</v>
      </c>
    </row>
    <row r="128" spans="1:23" hidden="1" x14ac:dyDescent="0.3">
      <c r="A128" t="s">
        <v>3</v>
      </c>
      <c r="B128" t="s">
        <v>14</v>
      </c>
      <c r="C128" t="s">
        <v>5</v>
      </c>
      <c r="D128" t="s">
        <v>27</v>
      </c>
      <c r="E128" s="1">
        <v>1055</v>
      </c>
      <c r="F128" s="1">
        <v>12</v>
      </c>
      <c r="G128" s="1">
        <v>12660</v>
      </c>
      <c r="H128" s="1">
        <v>12406.8</v>
      </c>
      <c r="I128" s="1">
        <v>9241.7999999999993</v>
      </c>
      <c r="J128" t="s">
        <v>15</v>
      </c>
      <c r="K128">
        <v>2019</v>
      </c>
      <c r="M128" t="str">
        <v>Small Business</v>
      </c>
      <c r="N128" t="str">
        <v>Canada</v>
      </c>
      <c r="O128" t="str">
        <v>Carretera</v>
      </c>
      <c r="P128" t="str">
        <v>High</v>
      </c>
      <c r="Q128">
        <v>1496</v>
      </c>
      <c r="R128">
        <v>300</v>
      </c>
      <c r="S128">
        <v>448800</v>
      </c>
      <c r="T128">
        <v>385968</v>
      </c>
      <c r="U128">
        <v>11968</v>
      </c>
      <c r="V128" t="str">
        <v>Oct</v>
      </c>
      <c r="W128">
        <v>2019</v>
      </c>
    </row>
    <row r="129" spans="1:23" hidden="1" x14ac:dyDescent="0.3">
      <c r="A129" t="s">
        <v>3</v>
      </c>
      <c r="B129" t="s">
        <v>9</v>
      </c>
      <c r="C129" t="s">
        <v>5</v>
      </c>
      <c r="D129" t="s">
        <v>27</v>
      </c>
      <c r="E129" s="1">
        <v>1084</v>
      </c>
      <c r="F129" s="1">
        <v>12</v>
      </c>
      <c r="G129" s="1">
        <v>13008</v>
      </c>
      <c r="H129" s="1">
        <v>12747.84</v>
      </c>
      <c r="I129" s="1">
        <v>9495.84</v>
      </c>
      <c r="J129" t="s">
        <v>15</v>
      </c>
      <c r="K129">
        <v>2019</v>
      </c>
      <c r="M129" t="str">
        <v>Midmarket</v>
      </c>
      <c r="N129" t="str">
        <v>Canada</v>
      </c>
      <c r="O129" t="str">
        <v>Carretera</v>
      </c>
      <c r="P129" t="str">
        <v>High</v>
      </c>
      <c r="Q129">
        <v>2300</v>
      </c>
      <c r="R129">
        <v>15</v>
      </c>
      <c r="S129">
        <v>34500</v>
      </c>
      <c r="T129">
        <v>29670</v>
      </c>
      <c r="U129">
        <v>6670</v>
      </c>
      <c r="V129" t="str">
        <v>Dec</v>
      </c>
      <c r="W129">
        <v>2019</v>
      </c>
    </row>
    <row r="130" spans="1:23" hidden="1" x14ac:dyDescent="0.3">
      <c r="A130" t="s">
        <v>6</v>
      </c>
      <c r="B130" t="s">
        <v>42</v>
      </c>
      <c r="C130" t="s">
        <v>20</v>
      </c>
      <c r="D130" t="s">
        <v>27</v>
      </c>
      <c r="E130" s="1">
        <v>1566</v>
      </c>
      <c r="F130" s="1">
        <v>20</v>
      </c>
      <c r="G130" s="1">
        <v>31320</v>
      </c>
      <c r="H130" s="1">
        <v>30693.599999999999</v>
      </c>
      <c r="I130" s="1">
        <v>15033.599999999999</v>
      </c>
      <c r="J130" t="s">
        <v>10</v>
      </c>
      <c r="K130">
        <v>2019</v>
      </c>
      <c r="M130" t="str">
        <v>Government</v>
      </c>
      <c r="N130" t="str">
        <v>Canada</v>
      </c>
      <c r="O130" t="str">
        <v>Montana</v>
      </c>
      <c r="P130" t="str">
        <v>High</v>
      </c>
      <c r="Q130">
        <v>2227.5</v>
      </c>
      <c r="R130">
        <v>350</v>
      </c>
      <c r="S130">
        <v>779625</v>
      </c>
      <c r="T130">
        <v>670477.5</v>
      </c>
      <c r="U130">
        <v>91327.5</v>
      </c>
      <c r="V130" t="str">
        <v>Jan</v>
      </c>
      <c r="W130">
        <v>2019</v>
      </c>
    </row>
    <row r="131" spans="1:23" hidden="1" x14ac:dyDescent="0.3">
      <c r="A131" t="s">
        <v>6</v>
      </c>
      <c r="B131" t="s">
        <v>41</v>
      </c>
      <c r="C131" t="s">
        <v>20</v>
      </c>
      <c r="D131" t="s">
        <v>27</v>
      </c>
      <c r="E131" s="1">
        <v>2966</v>
      </c>
      <c r="F131" s="1">
        <v>350</v>
      </c>
      <c r="G131" s="1">
        <v>1038100</v>
      </c>
      <c r="H131" s="1">
        <v>1017338</v>
      </c>
      <c r="I131" s="1">
        <v>246178</v>
      </c>
      <c r="J131" t="s">
        <v>10</v>
      </c>
      <c r="K131">
        <v>2018</v>
      </c>
      <c r="M131" t="str">
        <v>Government</v>
      </c>
      <c r="N131" t="str">
        <v>Canada</v>
      </c>
      <c r="O131" t="str">
        <v>Montana</v>
      </c>
      <c r="P131" t="str">
        <v>High</v>
      </c>
      <c r="Q131">
        <v>200</v>
      </c>
      <c r="R131">
        <v>350</v>
      </c>
      <c r="S131">
        <v>70000</v>
      </c>
      <c r="T131">
        <v>60200</v>
      </c>
      <c r="U131">
        <v>8200</v>
      </c>
      <c r="V131" t="str">
        <v>May</v>
      </c>
      <c r="W131">
        <v>2019</v>
      </c>
    </row>
    <row r="132" spans="1:23" hidden="1" x14ac:dyDescent="0.3">
      <c r="A132" t="s">
        <v>6</v>
      </c>
      <c r="B132" t="s">
        <v>41</v>
      </c>
      <c r="C132" t="s">
        <v>20</v>
      </c>
      <c r="D132" t="s">
        <v>27</v>
      </c>
      <c r="E132" s="1">
        <v>2877</v>
      </c>
      <c r="F132" s="1">
        <v>350</v>
      </c>
      <c r="G132" s="1">
        <v>1006950</v>
      </c>
      <c r="H132" s="1">
        <v>986811</v>
      </c>
      <c r="I132" s="1">
        <v>238791</v>
      </c>
      <c r="J132" t="s">
        <v>10</v>
      </c>
      <c r="K132">
        <v>2019</v>
      </c>
      <c r="M132" t="str">
        <v>Government</v>
      </c>
      <c r="N132" t="str">
        <v>Canada</v>
      </c>
      <c r="O132" t="str">
        <v>Montana</v>
      </c>
      <c r="P132" t="str">
        <v>High</v>
      </c>
      <c r="Q132">
        <v>388</v>
      </c>
      <c r="R132">
        <v>7</v>
      </c>
      <c r="S132">
        <v>2716</v>
      </c>
      <c r="T132">
        <v>2335.7600000000002</v>
      </c>
      <c r="U132">
        <v>395.76000000000022</v>
      </c>
      <c r="V132" t="str">
        <v>Sep</v>
      </c>
      <c r="W132">
        <v>2019</v>
      </c>
    </row>
    <row r="133" spans="1:23" hidden="1" x14ac:dyDescent="0.3">
      <c r="A133" t="s">
        <v>17</v>
      </c>
      <c r="B133" t="s">
        <v>41</v>
      </c>
      <c r="C133" t="s">
        <v>20</v>
      </c>
      <c r="D133" t="s">
        <v>27</v>
      </c>
      <c r="E133" s="1">
        <v>809</v>
      </c>
      <c r="F133" s="1">
        <v>125</v>
      </c>
      <c r="G133" s="1">
        <v>101125</v>
      </c>
      <c r="H133" s="1">
        <v>99102.5</v>
      </c>
      <c r="I133" s="1">
        <v>2022.5</v>
      </c>
      <c r="J133" t="s">
        <v>10</v>
      </c>
      <c r="K133">
        <v>2018</v>
      </c>
      <c r="M133" t="str">
        <v>Midmarket</v>
      </c>
      <c r="N133" t="str">
        <v>Canada</v>
      </c>
      <c r="O133" t="str">
        <v>Montana</v>
      </c>
      <c r="P133" t="str">
        <v>High</v>
      </c>
      <c r="Q133">
        <v>2300</v>
      </c>
      <c r="R133">
        <v>15</v>
      </c>
      <c r="S133">
        <v>34500</v>
      </c>
      <c r="T133">
        <v>29670</v>
      </c>
      <c r="U133">
        <v>6670</v>
      </c>
      <c r="V133" t="str">
        <v>Dec</v>
      </c>
      <c r="W133">
        <v>2019</v>
      </c>
    </row>
    <row r="134" spans="1:23" hidden="1" x14ac:dyDescent="0.3">
      <c r="A134" t="s">
        <v>17</v>
      </c>
      <c r="B134" t="s">
        <v>9</v>
      </c>
      <c r="C134" t="s">
        <v>20</v>
      </c>
      <c r="D134" t="s">
        <v>27</v>
      </c>
      <c r="E134" s="1">
        <v>2145</v>
      </c>
      <c r="F134" s="1">
        <v>125</v>
      </c>
      <c r="G134" s="1">
        <v>268125</v>
      </c>
      <c r="H134" s="1">
        <v>262762.5</v>
      </c>
      <c r="I134" s="1">
        <v>5362.5</v>
      </c>
      <c r="J134" t="s">
        <v>10</v>
      </c>
      <c r="K134">
        <v>2018</v>
      </c>
      <c r="M134" t="str">
        <v>Midmarket</v>
      </c>
      <c r="N134" t="str">
        <v>Canada</v>
      </c>
      <c r="O134" t="str">
        <v>Paseo</v>
      </c>
      <c r="P134" t="str">
        <v>High</v>
      </c>
      <c r="Q134">
        <v>2470</v>
      </c>
      <c r="R134">
        <v>15</v>
      </c>
      <c r="S134">
        <v>37050</v>
      </c>
      <c r="T134">
        <v>31863</v>
      </c>
      <c r="U134">
        <v>7163</v>
      </c>
      <c r="V134" t="str">
        <v>Sep</v>
      </c>
      <c r="W134">
        <v>2018</v>
      </c>
    </row>
    <row r="135" spans="1:23" hidden="1" x14ac:dyDescent="0.3">
      <c r="A135" t="s">
        <v>3</v>
      </c>
      <c r="B135" t="s">
        <v>14</v>
      </c>
      <c r="C135" t="s">
        <v>20</v>
      </c>
      <c r="D135" t="s">
        <v>27</v>
      </c>
      <c r="E135" s="1">
        <v>1055</v>
      </c>
      <c r="F135" s="1">
        <v>12</v>
      </c>
      <c r="G135" s="1">
        <v>12660</v>
      </c>
      <c r="H135" s="1">
        <v>12406.8</v>
      </c>
      <c r="I135" s="1">
        <v>9241.7999999999993</v>
      </c>
      <c r="J135" t="s">
        <v>15</v>
      </c>
      <c r="K135">
        <v>2019</v>
      </c>
      <c r="M135" t="str">
        <v>Midmarket</v>
      </c>
      <c r="N135" t="str">
        <v>Canada</v>
      </c>
      <c r="O135" t="str">
        <v>Paseo</v>
      </c>
      <c r="P135" t="str">
        <v>High</v>
      </c>
      <c r="Q135">
        <v>1743</v>
      </c>
      <c r="R135">
        <v>15</v>
      </c>
      <c r="S135">
        <v>26145</v>
      </c>
      <c r="T135">
        <v>22484.7</v>
      </c>
      <c r="U135">
        <v>5054.7000000000007</v>
      </c>
      <c r="V135" t="str">
        <v>Oct</v>
      </c>
      <c r="W135">
        <v>2018</v>
      </c>
    </row>
    <row r="136" spans="1:23" hidden="1" x14ac:dyDescent="0.3">
      <c r="A136" t="s">
        <v>6</v>
      </c>
      <c r="B136" t="s">
        <v>9</v>
      </c>
      <c r="C136" t="s">
        <v>20</v>
      </c>
      <c r="D136" t="s">
        <v>27</v>
      </c>
      <c r="E136" s="1">
        <v>544</v>
      </c>
      <c r="F136" s="1">
        <v>20</v>
      </c>
      <c r="G136" s="1">
        <v>10880</v>
      </c>
      <c r="H136" s="1">
        <v>10662.4</v>
      </c>
      <c r="I136" s="1">
        <v>5222.3999999999996</v>
      </c>
      <c r="J136" t="s">
        <v>15</v>
      </c>
      <c r="K136">
        <v>2018</v>
      </c>
      <c r="M136" t="str">
        <v>Government</v>
      </c>
      <c r="N136" t="str">
        <v>Canada</v>
      </c>
      <c r="O136" t="str">
        <v>Paseo</v>
      </c>
      <c r="P136" t="str">
        <v>High</v>
      </c>
      <c r="Q136">
        <v>700</v>
      </c>
      <c r="R136">
        <v>350</v>
      </c>
      <c r="S136">
        <v>245000</v>
      </c>
      <c r="T136">
        <v>210700</v>
      </c>
      <c r="U136">
        <v>28700</v>
      </c>
      <c r="V136" t="str">
        <v>Nov</v>
      </c>
      <c r="W136">
        <v>2019</v>
      </c>
    </row>
    <row r="137" spans="1:23" hidden="1" x14ac:dyDescent="0.3">
      <c r="A137" t="s">
        <v>3</v>
      </c>
      <c r="B137" t="s">
        <v>9</v>
      </c>
      <c r="C137" t="s">
        <v>20</v>
      </c>
      <c r="D137" t="s">
        <v>27</v>
      </c>
      <c r="E137" s="1">
        <v>1084</v>
      </c>
      <c r="F137" s="1">
        <v>12</v>
      </c>
      <c r="G137" s="1">
        <v>13008</v>
      </c>
      <c r="H137" s="1">
        <v>12747.84</v>
      </c>
      <c r="I137" s="1">
        <v>9495.84</v>
      </c>
      <c r="J137" t="s">
        <v>15</v>
      </c>
      <c r="K137">
        <v>2019</v>
      </c>
      <c r="M137" t="str">
        <v>Channel Partners</v>
      </c>
      <c r="N137" t="str">
        <v>Canada</v>
      </c>
      <c r="O137" t="str">
        <v>Paseo</v>
      </c>
      <c r="P137" t="str">
        <v>High</v>
      </c>
      <c r="Q137">
        <v>2222</v>
      </c>
      <c r="R137">
        <v>12</v>
      </c>
      <c r="S137">
        <v>26664</v>
      </c>
      <c r="T137">
        <v>22931.040000000001</v>
      </c>
      <c r="U137">
        <v>16265.04</v>
      </c>
      <c r="V137" t="str">
        <v>Nov</v>
      </c>
      <c r="W137">
        <v>2018</v>
      </c>
    </row>
    <row r="138" spans="1:23" hidden="1" x14ac:dyDescent="0.3">
      <c r="A138" t="s">
        <v>17</v>
      </c>
      <c r="B138" t="s">
        <v>9</v>
      </c>
      <c r="C138" t="s">
        <v>2</v>
      </c>
      <c r="D138" t="s">
        <v>27</v>
      </c>
      <c r="E138" s="1">
        <v>662</v>
      </c>
      <c r="F138" s="1">
        <v>125</v>
      </c>
      <c r="G138" s="1">
        <v>82750</v>
      </c>
      <c r="H138" s="1">
        <v>81095</v>
      </c>
      <c r="I138" s="1">
        <v>1655</v>
      </c>
      <c r="J138" t="s">
        <v>25</v>
      </c>
      <c r="K138">
        <v>2019</v>
      </c>
      <c r="M138" t="str">
        <v>Small Business</v>
      </c>
      <c r="N138" t="str">
        <v>Canada</v>
      </c>
      <c r="O138" t="str">
        <v>Velo</v>
      </c>
      <c r="P138" t="str">
        <v>High</v>
      </c>
      <c r="Q138">
        <v>269</v>
      </c>
      <c r="R138">
        <v>300</v>
      </c>
      <c r="S138">
        <v>80700</v>
      </c>
      <c r="T138">
        <v>69402</v>
      </c>
      <c r="U138">
        <v>2152</v>
      </c>
      <c r="V138" t="str">
        <v>Oct</v>
      </c>
      <c r="W138">
        <v>2018</v>
      </c>
    </row>
    <row r="139" spans="1:23" hidden="1" x14ac:dyDescent="0.3">
      <c r="A139" t="s">
        <v>12</v>
      </c>
      <c r="B139" t="s">
        <v>41</v>
      </c>
      <c r="C139" t="s">
        <v>2</v>
      </c>
      <c r="D139" t="s">
        <v>27</v>
      </c>
      <c r="E139" s="1">
        <v>214</v>
      </c>
      <c r="F139" s="1">
        <v>300</v>
      </c>
      <c r="G139" s="1">
        <v>64200</v>
      </c>
      <c r="H139" s="1">
        <v>62916</v>
      </c>
      <c r="I139" s="1">
        <v>9416</v>
      </c>
      <c r="J139" t="s">
        <v>10</v>
      </c>
      <c r="K139">
        <v>2018</v>
      </c>
      <c r="M139" t="str">
        <v>Small Business</v>
      </c>
      <c r="N139" t="str">
        <v>Canada</v>
      </c>
      <c r="O139" t="str">
        <v>VTT</v>
      </c>
      <c r="P139" t="str">
        <v>High</v>
      </c>
      <c r="Q139">
        <v>269</v>
      </c>
      <c r="R139">
        <v>300</v>
      </c>
      <c r="S139">
        <v>80700</v>
      </c>
      <c r="T139">
        <v>69402</v>
      </c>
      <c r="U139">
        <v>2152</v>
      </c>
      <c r="V139" t="str">
        <v>Oct</v>
      </c>
      <c r="W139">
        <v>2018</v>
      </c>
    </row>
    <row r="140" spans="1:23" hidden="1" x14ac:dyDescent="0.3">
      <c r="A140" t="s">
        <v>6</v>
      </c>
      <c r="B140" t="s">
        <v>41</v>
      </c>
      <c r="C140" t="s">
        <v>2</v>
      </c>
      <c r="D140" t="s">
        <v>27</v>
      </c>
      <c r="E140" s="1">
        <v>2877</v>
      </c>
      <c r="F140" s="1">
        <v>350</v>
      </c>
      <c r="G140" s="1">
        <v>1006950</v>
      </c>
      <c r="H140" s="1">
        <v>986811</v>
      </c>
      <c r="I140" s="1">
        <v>238791</v>
      </c>
      <c r="J140" t="s">
        <v>10</v>
      </c>
      <c r="K140">
        <v>2019</v>
      </c>
      <c r="M140" t="str">
        <v>Small Business</v>
      </c>
      <c r="N140" t="str">
        <v>Canada</v>
      </c>
      <c r="O140" t="str">
        <v>VTT</v>
      </c>
      <c r="P140" t="str">
        <v>High</v>
      </c>
      <c r="Q140">
        <v>1496</v>
      </c>
      <c r="R140">
        <v>300</v>
      </c>
      <c r="S140">
        <v>448800</v>
      </c>
      <c r="T140">
        <v>385968</v>
      </c>
      <c r="U140">
        <v>11968</v>
      </c>
      <c r="V140" t="str">
        <v>Oct</v>
      </c>
      <c r="W140">
        <v>2019</v>
      </c>
    </row>
    <row r="141" spans="1:23" hidden="1" x14ac:dyDescent="0.3">
      <c r="A141" t="s">
        <v>17</v>
      </c>
      <c r="B141" t="s">
        <v>40</v>
      </c>
      <c r="C141" t="s">
        <v>2</v>
      </c>
      <c r="D141" t="s">
        <v>27</v>
      </c>
      <c r="E141" s="1">
        <v>2729</v>
      </c>
      <c r="F141" s="1">
        <v>125</v>
      </c>
      <c r="G141" s="1">
        <v>341125</v>
      </c>
      <c r="H141" s="1">
        <v>334302.5</v>
      </c>
      <c r="I141" s="1">
        <v>6822.5</v>
      </c>
      <c r="J141" t="s">
        <v>15</v>
      </c>
      <c r="K141">
        <v>2019</v>
      </c>
      <c r="M141" t="str">
        <v>Small Business</v>
      </c>
      <c r="N141" t="str">
        <v>Canada</v>
      </c>
      <c r="O141" t="str">
        <v>Amarilla</v>
      </c>
      <c r="P141" t="str">
        <v>High</v>
      </c>
      <c r="Q141">
        <v>888</v>
      </c>
      <c r="R141">
        <v>300</v>
      </c>
      <c r="S141">
        <v>266400</v>
      </c>
      <c r="T141">
        <v>229104</v>
      </c>
      <c r="U141">
        <v>7104</v>
      </c>
      <c r="V141" t="str">
        <v>Mar</v>
      </c>
      <c r="W141">
        <v>2019</v>
      </c>
    </row>
    <row r="142" spans="1:23" hidden="1" x14ac:dyDescent="0.3">
      <c r="A142" t="s">
        <v>6</v>
      </c>
      <c r="B142" t="s">
        <v>42</v>
      </c>
      <c r="C142" t="s">
        <v>2</v>
      </c>
      <c r="D142" t="s">
        <v>27</v>
      </c>
      <c r="E142" s="1">
        <v>266</v>
      </c>
      <c r="F142" s="1">
        <v>350</v>
      </c>
      <c r="G142" s="1">
        <v>93100</v>
      </c>
      <c r="H142" s="1">
        <v>91238</v>
      </c>
      <c r="I142" s="1">
        <v>22078</v>
      </c>
      <c r="J142" t="s">
        <v>15</v>
      </c>
      <c r="K142">
        <v>2018</v>
      </c>
      <c r="M142" t="str">
        <v>Midmarket</v>
      </c>
      <c r="N142" t="str">
        <v>Canada</v>
      </c>
      <c r="O142" t="str">
        <v>Amarilla</v>
      </c>
      <c r="P142" t="str">
        <v>High</v>
      </c>
      <c r="Q142">
        <v>1743</v>
      </c>
      <c r="R142">
        <v>15</v>
      </c>
      <c r="S142">
        <v>26145</v>
      </c>
      <c r="T142">
        <v>22484.7</v>
      </c>
      <c r="U142">
        <v>5054.7000000000007</v>
      </c>
      <c r="V142" t="str">
        <v>Oct</v>
      </c>
      <c r="W142">
        <v>2018</v>
      </c>
    </row>
    <row r="143" spans="1:23" hidden="1" x14ac:dyDescent="0.3">
      <c r="A143" t="s">
        <v>6</v>
      </c>
      <c r="B143" t="s">
        <v>9</v>
      </c>
      <c r="C143" t="s">
        <v>2</v>
      </c>
      <c r="D143" t="s">
        <v>27</v>
      </c>
      <c r="E143" s="1">
        <v>1940</v>
      </c>
      <c r="F143" s="1">
        <v>350</v>
      </c>
      <c r="G143" s="1">
        <v>679000</v>
      </c>
      <c r="H143" s="1">
        <v>665420</v>
      </c>
      <c r="I143" s="1">
        <v>161020</v>
      </c>
      <c r="J143" t="s">
        <v>15</v>
      </c>
      <c r="K143">
        <v>2018</v>
      </c>
      <c r="M143" t="str">
        <v>Midmarket</v>
      </c>
      <c r="N143" t="str">
        <v>Canada</v>
      </c>
      <c r="O143" t="str">
        <v>Paseo</v>
      </c>
      <c r="P143" t="str">
        <v>High</v>
      </c>
      <c r="Q143">
        <v>1614</v>
      </c>
      <c r="R143">
        <v>15</v>
      </c>
      <c r="S143">
        <v>24210</v>
      </c>
      <c r="T143">
        <v>20578.5</v>
      </c>
      <c r="U143">
        <v>4438.5</v>
      </c>
      <c r="V143" t="str">
        <v>Apr</v>
      </c>
      <c r="W143">
        <v>2019</v>
      </c>
    </row>
    <row r="144" spans="1:23" hidden="1" x14ac:dyDescent="0.3">
      <c r="A144" t="s">
        <v>12</v>
      </c>
      <c r="B144" t="s">
        <v>41</v>
      </c>
      <c r="C144" t="s">
        <v>11</v>
      </c>
      <c r="D144" t="s">
        <v>27</v>
      </c>
      <c r="E144" s="1">
        <v>259</v>
      </c>
      <c r="F144" s="1">
        <v>300</v>
      </c>
      <c r="G144" s="1">
        <v>77700</v>
      </c>
      <c r="H144" s="1">
        <v>76146</v>
      </c>
      <c r="I144" s="1">
        <v>11396</v>
      </c>
      <c r="J144" t="s">
        <v>13</v>
      </c>
      <c r="K144">
        <v>2019</v>
      </c>
      <c r="M144" t="str">
        <v>Midmarket</v>
      </c>
      <c r="N144" t="str">
        <v>Canada</v>
      </c>
      <c r="O144" t="str">
        <v>Paseo</v>
      </c>
      <c r="P144" t="str">
        <v>High</v>
      </c>
      <c r="Q144">
        <v>2559</v>
      </c>
      <c r="R144">
        <v>15</v>
      </c>
      <c r="S144">
        <v>38385</v>
      </c>
      <c r="T144">
        <v>32627.25</v>
      </c>
      <c r="U144">
        <v>7037.25</v>
      </c>
      <c r="V144" t="str">
        <v>Aug</v>
      </c>
      <c r="W144">
        <v>2019</v>
      </c>
    </row>
    <row r="145" spans="1:23" hidden="1" x14ac:dyDescent="0.3">
      <c r="A145" t="s">
        <v>12</v>
      </c>
      <c r="B145" t="s">
        <v>9</v>
      </c>
      <c r="C145" t="s">
        <v>11</v>
      </c>
      <c r="D145" t="s">
        <v>27</v>
      </c>
      <c r="E145" s="1">
        <v>1101</v>
      </c>
      <c r="F145" s="1">
        <v>300</v>
      </c>
      <c r="G145" s="1">
        <v>330300</v>
      </c>
      <c r="H145" s="1">
        <v>323694</v>
      </c>
      <c r="I145" s="1">
        <v>48444</v>
      </c>
      <c r="J145" t="s">
        <v>13</v>
      </c>
      <c r="K145">
        <v>2019</v>
      </c>
      <c r="M145" t="str">
        <v>Government</v>
      </c>
      <c r="N145" t="str">
        <v>Canada</v>
      </c>
      <c r="O145" t="str">
        <v>VTT</v>
      </c>
      <c r="P145" t="str">
        <v>High</v>
      </c>
      <c r="Q145">
        <v>865.5</v>
      </c>
      <c r="R145">
        <v>20</v>
      </c>
      <c r="S145">
        <v>17310</v>
      </c>
      <c r="T145">
        <v>14713.5</v>
      </c>
      <c r="U145">
        <v>6058.5</v>
      </c>
      <c r="V145" t="str">
        <v>Jul</v>
      </c>
      <c r="W145">
        <v>2019</v>
      </c>
    </row>
    <row r="146" spans="1:23" hidden="1" x14ac:dyDescent="0.3">
      <c r="A146" t="s">
        <v>17</v>
      </c>
      <c r="B146" t="s">
        <v>41</v>
      </c>
      <c r="C146" t="s">
        <v>11</v>
      </c>
      <c r="D146" t="s">
        <v>27</v>
      </c>
      <c r="E146" s="1">
        <v>2276</v>
      </c>
      <c r="F146" s="1">
        <v>125</v>
      </c>
      <c r="G146" s="1">
        <v>284500</v>
      </c>
      <c r="H146" s="1">
        <v>278810</v>
      </c>
      <c r="I146" s="1">
        <v>5690</v>
      </c>
      <c r="J146" t="s">
        <v>0</v>
      </c>
      <c r="K146">
        <v>2019</v>
      </c>
      <c r="M146" t="str">
        <v>Enterprise</v>
      </c>
      <c r="N146" t="str">
        <v>Canada</v>
      </c>
      <c r="O146" t="str">
        <v>VTT</v>
      </c>
      <c r="P146" t="str">
        <v>High</v>
      </c>
      <c r="Q146">
        <v>2954</v>
      </c>
      <c r="R146">
        <v>125</v>
      </c>
      <c r="S146">
        <v>369250</v>
      </c>
      <c r="T146">
        <v>313862.5</v>
      </c>
      <c r="U146">
        <v>-40617.5</v>
      </c>
      <c r="V146" t="str">
        <v>Nov</v>
      </c>
      <c r="W146">
        <v>2018</v>
      </c>
    </row>
    <row r="147" spans="1:23" hidden="1" x14ac:dyDescent="0.3">
      <c r="A147" t="s">
        <v>6</v>
      </c>
      <c r="B147" t="s">
        <v>41</v>
      </c>
      <c r="C147" t="s">
        <v>11</v>
      </c>
      <c r="D147" t="s">
        <v>27</v>
      </c>
      <c r="E147" s="1">
        <v>2966</v>
      </c>
      <c r="F147" s="1">
        <v>350</v>
      </c>
      <c r="G147" s="1">
        <v>1038100</v>
      </c>
      <c r="H147" s="1">
        <v>1017338</v>
      </c>
      <c r="I147" s="1">
        <v>246178</v>
      </c>
      <c r="J147" t="s">
        <v>10</v>
      </c>
      <c r="K147">
        <v>2018</v>
      </c>
      <c r="M147" t="str">
        <v>Government</v>
      </c>
      <c r="N147" t="str">
        <v>Canada</v>
      </c>
      <c r="O147" t="str">
        <v>Paseo</v>
      </c>
      <c r="P147" t="str">
        <v>High</v>
      </c>
      <c r="Q147">
        <v>723</v>
      </c>
      <c r="R147">
        <v>7</v>
      </c>
      <c r="S147">
        <v>5061</v>
      </c>
      <c r="T147">
        <v>4301.8500000000004</v>
      </c>
      <c r="U147">
        <v>686.85000000000014</v>
      </c>
      <c r="V147" t="str">
        <v>Apr</v>
      </c>
      <c r="W147">
        <v>2019</v>
      </c>
    </row>
    <row r="148" spans="1:23" hidden="1" x14ac:dyDescent="0.3">
      <c r="A148" t="s">
        <v>6</v>
      </c>
      <c r="B148" t="s">
        <v>42</v>
      </c>
      <c r="C148" t="s">
        <v>11</v>
      </c>
      <c r="D148" t="s">
        <v>27</v>
      </c>
      <c r="E148" s="1">
        <v>1236</v>
      </c>
      <c r="F148" s="1">
        <v>20</v>
      </c>
      <c r="G148" s="1">
        <v>24720</v>
      </c>
      <c r="H148" s="1">
        <v>24225.599999999999</v>
      </c>
      <c r="I148" s="1">
        <v>11865.599999999999</v>
      </c>
      <c r="J148" t="s">
        <v>16</v>
      </c>
      <c r="K148">
        <v>2019</v>
      </c>
    </row>
    <row r="149" spans="1:23" hidden="1" x14ac:dyDescent="0.3">
      <c r="A149" t="s">
        <v>6</v>
      </c>
      <c r="B149" t="s">
        <v>14</v>
      </c>
      <c r="C149" t="s">
        <v>11</v>
      </c>
      <c r="D149" t="s">
        <v>27</v>
      </c>
      <c r="E149" s="1">
        <v>941</v>
      </c>
      <c r="F149" s="1">
        <v>20</v>
      </c>
      <c r="G149" s="1">
        <v>18820</v>
      </c>
      <c r="H149" s="1">
        <v>18443.599999999999</v>
      </c>
      <c r="I149" s="1">
        <v>9033.5999999999985</v>
      </c>
      <c r="J149" t="s">
        <v>16</v>
      </c>
      <c r="K149">
        <v>2019</v>
      </c>
    </row>
    <row r="150" spans="1:23" hidden="1" x14ac:dyDescent="0.3">
      <c r="A150" t="s">
        <v>12</v>
      </c>
      <c r="B150" t="s">
        <v>40</v>
      </c>
      <c r="C150" t="s">
        <v>11</v>
      </c>
      <c r="D150" t="s">
        <v>27</v>
      </c>
      <c r="E150" s="1">
        <v>1916</v>
      </c>
      <c r="F150" s="1">
        <v>300</v>
      </c>
      <c r="G150" s="1">
        <v>574800</v>
      </c>
      <c r="H150" s="1">
        <v>563304</v>
      </c>
      <c r="I150" s="1">
        <v>84304</v>
      </c>
      <c r="J150" t="s">
        <v>15</v>
      </c>
      <c r="K150">
        <v>2019</v>
      </c>
    </row>
    <row r="151" spans="1:23" hidden="1" x14ac:dyDescent="0.3">
      <c r="A151" t="s">
        <v>17</v>
      </c>
      <c r="B151" t="s">
        <v>14</v>
      </c>
      <c r="C151" t="s">
        <v>23</v>
      </c>
      <c r="D151" t="s">
        <v>27</v>
      </c>
      <c r="E151" s="1">
        <v>4243.5</v>
      </c>
      <c r="F151" s="1">
        <v>125</v>
      </c>
      <c r="G151" s="1">
        <v>530437.5</v>
      </c>
      <c r="H151" s="1">
        <v>514524.375</v>
      </c>
      <c r="I151" s="1">
        <v>5304.375</v>
      </c>
      <c r="J151" t="s">
        <v>4</v>
      </c>
      <c r="K151">
        <v>2019</v>
      </c>
    </row>
    <row r="152" spans="1:23" hidden="1" x14ac:dyDescent="0.3">
      <c r="A152" t="s">
        <v>6</v>
      </c>
      <c r="B152" t="s">
        <v>41</v>
      </c>
      <c r="C152" t="s">
        <v>23</v>
      </c>
      <c r="D152" t="s">
        <v>27</v>
      </c>
      <c r="E152" s="1">
        <v>2580</v>
      </c>
      <c r="F152" s="1">
        <v>20</v>
      </c>
      <c r="G152" s="1">
        <v>51600</v>
      </c>
      <c r="H152" s="1">
        <v>50052</v>
      </c>
      <c r="I152" s="1">
        <v>24252</v>
      </c>
      <c r="J152" t="s">
        <v>4</v>
      </c>
      <c r="K152">
        <v>2019</v>
      </c>
    </row>
    <row r="153" spans="1:23" hidden="1" x14ac:dyDescent="0.3">
      <c r="A153" t="s">
        <v>12</v>
      </c>
      <c r="B153" t="s">
        <v>41</v>
      </c>
      <c r="C153" t="s">
        <v>23</v>
      </c>
      <c r="D153" t="s">
        <v>27</v>
      </c>
      <c r="E153" s="1">
        <v>689</v>
      </c>
      <c r="F153" s="1">
        <v>300</v>
      </c>
      <c r="G153" s="1">
        <v>206700</v>
      </c>
      <c r="H153" s="1">
        <v>200499</v>
      </c>
      <c r="I153" s="1">
        <v>28249</v>
      </c>
      <c r="J153" t="s">
        <v>25</v>
      </c>
      <c r="K153">
        <v>2019</v>
      </c>
    </row>
    <row r="154" spans="1:23" hidden="1" x14ac:dyDescent="0.3">
      <c r="A154" t="s">
        <v>3</v>
      </c>
      <c r="B154" t="s">
        <v>42</v>
      </c>
      <c r="C154" t="s">
        <v>23</v>
      </c>
      <c r="D154" t="s">
        <v>27</v>
      </c>
      <c r="E154" s="1">
        <v>1947</v>
      </c>
      <c r="F154" s="1">
        <v>12</v>
      </c>
      <c r="G154" s="1">
        <v>23364</v>
      </c>
      <c r="H154" s="1">
        <v>22663.08</v>
      </c>
      <c r="I154" s="1">
        <v>16822.080000000002</v>
      </c>
      <c r="J154" t="s">
        <v>21</v>
      </c>
      <c r="K154">
        <v>2019</v>
      </c>
    </row>
    <row r="155" spans="1:23" x14ac:dyDescent="0.3">
      <c r="A155" t="s">
        <v>3</v>
      </c>
      <c r="B155" t="s">
        <v>40</v>
      </c>
      <c r="C155" t="s">
        <v>23</v>
      </c>
      <c r="D155" t="s">
        <v>27</v>
      </c>
      <c r="E155" s="1">
        <v>908</v>
      </c>
      <c r="F155" s="1">
        <v>12</v>
      </c>
      <c r="G155" s="1">
        <v>10896</v>
      </c>
      <c r="H155" s="1">
        <v>10569.12</v>
      </c>
      <c r="I155" s="1">
        <v>7845.1200000000008</v>
      </c>
      <c r="J155" t="s">
        <v>15</v>
      </c>
      <c r="K155">
        <v>2018</v>
      </c>
    </row>
    <row r="156" spans="1:23" hidden="1" x14ac:dyDescent="0.3">
      <c r="A156" t="s">
        <v>6</v>
      </c>
      <c r="B156" t="s">
        <v>41</v>
      </c>
      <c r="C156" t="s">
        <v>8</v>
      </c>
      <c r="D156" t="s">
        <v>27</v>
      </c>
      <c r="E156" s="1">
        <v>1958</v>
      </c>
      <c r="F156" s="1">
        <v>7</v>
      </c>
      <c r="G156" s="1">
        <v>13706</v>
      </c>
      <c r="H156" s="1">
        <v>13294.82</v>
      </c>
      <c r="I156" s="1">
        <v>3504.8199999999997</v>
      </c>
      <c r="J156" t="s">
        <v>7</v>
      </c>
      <c r="K156">
        <v>2019</v>
      </c>
    </row>
    <row r="157" spans="1:23" hidden="1" x14ac:dyDescent="0.3">
      <c r="A157" t="s">
        <v>3</v>
      </c>
      <c r="B157" t="s">
        <v>14</v>
      </c>
      <c r="C157" t="s">
        <v>8</v>
      </c>
      <c r="D157" t="s">
        <v>27</v>
      </c>
      <c r="E157" s="1">
        <v>1901</v>
      </c>
      <c r="F157" s="1">
        <v>12</v>
      </c>
      <c r="G157" s="1">
        <v>22812</v>
      </c>
      <c r="H157" s="1">
        <v>22127.64</v>
      </c>
      <c r="I157" s="1">
        <v>16424.64</v>
      </c>
      <c r="J157" t="s">
        <v>25</v>
      </c>
      <c r="K157">
        <v>2019</v>
      </c>
    </row>
    <row r="158" spans="1:23" hidden="1" x14ac:dyDescent="0.3">
      <c r="A158" t="s">
        <v>6</v>
      </c>
      <c r="B158" t="s">
        <v>14</v>
      </c>
      <c r="C158" t="s">
        <v>8</v>
      </c>
      <c r="D158" t="s">
        <v>27</v>
      </c>
      <c r="E158" s="1">
        <v>544</v>
      </c>
      <c r="F158" s="1">
        <v>7</v>
      </c>
      <c r="G158" s="1">
        <v>3808</v>
      </c>
      <c r="H158" s="1">
        <v>3693.76</v>
      </c>
      <c r="I158" s="1">
        <v>973.76000000000022</v>
      </c>
      <c r="J158" t="s">
        <v>21</v>
      </c>
      <c r="K158">
        <v>2019</v>
      </c>
    </row>
    <row r="159" spans="1:23" hidden="1" x14ac:dyDescent="0.3">
      <c r="A159" t="s">
        <v>6</v>
      </c>
      <c r="B159" t="s">
        <v>41</v>
      </c>
      <c r="C159" t="s">
        <v>8</v>
      </c>
      <c r="D159" t="s">
        <v>27</v>
      </c>
      <c r="E159" s="1">
        <v>1797</v>
      </c>
      <c r="F159" s="1">
        <v>350</v>
      </c>
      <c r="G159" s="1">
        <v>628950</v>
      </c>
      <c r="H159" s="1">
        <v>610081.5</v>
      </c>
      <c r="I159" s="1">
        <v>142861.5</v>
      </c>
      <c r="J159" t="s">
        <v>21</v>
      </c>
      <c r="K159">
        <v>2018</v>
      </c>
    </row>
    <row r="160" spans="1:23" hidden="1" x14ac:dyDescent="0.3">
      <c r="A160" t="s">
        <v>17</v>
      </c>
      <c r="B160" t="s">
        <v>14</v>
      </c>
      <c r="C160" t="s">
        <v>8</v>
      </c>
      <c r="D160" t="s">
        <v>27</v>
      </c>
      <c r="E160" s="1">
        <v>1287</v>
      </c>
      <c r="F160" s="1">
        <v>125</v>
      </c>
      <c r="G160" s="1">
        <v>160875</v>
      </c>
      <c r="H160" s="1">
        <v>156048.75</v>
      </c>
      <c r="I160" s="1">
        <v>1608.75</v>
      </c>
      <c r="J160" t="s">
        <v>15</v>
      </c>
      <c r="K160">
        <v>2019</v>
      </c>
    </row>
    <row r="161" spans="1:11" hidden="1" x14ac:dyDescent="0.3">
      <c r="A161" t="s">
        <v>17</v>
      </c>
      <c r="B161" t="s">
        <v>41</v>
      </c>
      <c r="C161" t="s">
        <v>8</v>
      </c>
      <c r="D161" t="s">
        <v>27</v>
      </c>
      <c r="E161" s="1">
        <v>1706</v>
      </c>
      <c r="F161" s="1">
        <v>125</v>
      </c>
      <c r="G161" s="1">
        <v>213250</v>
      </c>
      <c r="H161" s="1">
        <v>206852.5</v>
      </c>
      <c r="I161" s="1">
        <v>2132.5</v>
      </c>
      <c r="J161" t="s">
        <v>15</v>
      </c>
      <c r="K161">
        <v>2019</v>
      </c>
    </row>
    <row r="162" spans="1:11" hidden="1" x14ac:dyDescent="0.3">
      <c r="A162" t="s">
        <v>12</v>
      </c>
      <c r="B162" t="s">
        <v>14</v>
      </c>
      <c r="C162" t="s">
        <v>5</v>
      </c>
      <c r="D162" t="s">
        <v>27</v>
      </c>
      <c r="E162" s="1">
        <v>2434.5</v>
      </c>
      <c r="F162" s="1">
        <v>300</v>
      </c>
      <c r="G162" s="1">
        <v>730350</v>
      </c>
      <c r="H162" s="1">
        <v>708439.5</v>
      </c>
      <c r="I162" s="1">
        <v>99814.5</v>
      </c>
      <c r="J162" t="s">
        <v>24</v>
      </c>
      <c r="K162">
        <v>2019</v>
      </c>
    </row>
    <row r="163" spans="1:11" hidden="1" x14ac:dyDescent="0.3">
      <c r="A163" t="s">
        <v>17</v>
      </c>
      <c r="B163" t="s">
        <v>40</v>
      </c>
      <c r="C163" t="s">
        <v>5</v>
      </c>
      <c r="D163" t="s">
        <v>27</v>
      </c>
      <c r="E163" s="1">
        <v>1774</v>
      </c>
      <c r="F163" s="1">
        <v>125</v>
      </c>
      <c r="G163" s="1">
        <v>221750</v>
      </c>
      <c r="H163" s="1">
        <v>215097.5</v>
      </c>
      <c r="I163" s="1">
        <v>2217.5</v>
      </c>
      <c r="J163" t="s">
        <v>13</v>
      </c>
      <c r="K163">
        <v>2019</v>
      </c>
    </row>
    <row r="164" spans="1:11" hidden="1" x14ac:dyDescent="0.3">
      <c r="A164" t="s">
        <v>3</v>
      </c>
      <c r="B164" t="s">
        <v>14</v>
      </c>
      <c r="C164" t="s">
        <v>5</v>
      </c>
      <c r="D164" t="s">
        <v>27</v>
      </c>
      <c r="E164" s="1">
        <v>1901</v>
      </c>
      <c r="F164" s="1">
        <v>12</v>
      </c>
      <c r="G164" s="1">
        <v>22812</v>
      </c>
      <c r="H164" s="1">
        <v>22127.64</v>
      </c>
      <c r="I164" s="1">
        <v>16424.64</v>
      </c>
      <c r="J164" t="s">
        <v>25</v>
      </c>
      <c r="K164">
        <v>2019</v>
      </c>
    </row>
    <row r="165" spans="1:11" hidden="1" x14ac:dyDescent="0.3">
      <c r="A165" t="s">
        <v>12</v>
      </c>
      <c r="B165" t="s">
        <v>41</v>
      </c>
      <c r="C165" t="s">
        <v>5</v>
      </c>
      <c r="D165" t="s">
        <v>27</v>
      </c>
      <c r="E165" s="1">
        <v>689</v>
      </c>
      <c r="F165" s="1">
        <v>300</v>
      </c>
      <c r="G165" s="1">
        <v>206700</v>
      </c>
      <c r="H165" s="1">
        <v>200499</v>
      </c>
      <c r="I165" s="1">
        <v>28249</v>
      </c>
      <c r="J165" t="s">
        <v>25</v>
      </c>
      <c r="K165">
        <v>2019</v>
      </c>
    </row>
    <row r="166" spans="1:11" hidden="1" x14ac:dyDescent="0.3">
      <c r="A166" t="s">
        <v>17</v>
      </c>
      <c r="B166" t="s">
        <v>41</v>
      </c>
      <c r="C166" t="s">
        <v>5</v>
      </c>
      <c r="D166" t="s">
        <v>27</v>
      </c>
      <c r="E166" s="1">
        <v>1570</v>
      </c>
      <c r="F166" s="1">
        <v>125</v>
      </c>
      <c r="G166" s="1">
        <v>196250</v>
      </c>
      <c r="H166" s="1">
        <v>190362.5</v>
      </c>
      <c r="I166" s="1">
        <v>1962.5</v>
      </c>
      <c r="J166" t="s">
        <v>25</v>
      </c>
      <c r="K166">
        <v>2019</v>
      </c>
    </row>
    <row r="167" spans="1:11" hidden="1" x14ac:dyDescent="0.3">
      <c r="A167" t="s">
        <v>3</v>
      </c>
      <c r="B167" t="s">
        <v>42</v>
      </c>
      <c r="C167" t="s">
        <v>5</v>
      </c>
      <c r="D167" t="s">
        <v>27</v>
      </c>
      <c r="E167" s="1">
        <v>1369.5</v>
      </c>
      <c r="F167" s="1">
        <v>12</v>
      </c>
      <c r="G167" s="1">
        <v>16434</v>
      </c>
      <c r="H167" s="1">
        <v>15940.98</v>
      </c>
      <c r="I167" s="1">
        <v>11832.48</v>
      </c>
      <c r="J167" t="s">
        <v>19</v>
      </c>
      <c r="K167">
        <v>2019</v>
      </c>
    </row>
    <row r="168" spans="1:11" hidden="1" x14ac:dyDescent="0.3">
      <c r="A168" t="s">
        <v>17</v>
      </c>
      <c r="B168" t="s">
        <v>40</v>
      </c>
      <c r="C168" t="s">
        <v>5</v>
      </c>
      <c r="D168" t="s">
        <v>27</v>
      </c>
      <c r="E168" s="1">
        <v>2009</v>
      </c>
      <c r="F168" s="1">
        <v>125</v>
      </c>
      <c r="G168" s="1">
        <v>251125</v>
      </c>
      <c r="H168" s="1">
        <v>243591.25</v>
      </c>
      <c r="I168" s="1">
        <v>2511.25</v>
      </c>
      <c r="J168" t="s">
        <v>10</v>
      </c>
      <c r="K168">
        <v>2019</v>
      </c>
    </row>
    <row r="169" spans="1:11" hidden="1" x14ac:dyDescent="0.3">
      <c r="A169" t="s">
        <v>18</v>
      </c>
      <c r="B169" t="s">
        <v>41</v>
      </c>
      <c r="C169" t="s">
        <v>5</v>
      </c>
      <c r="D169" t="s">
        <v>27</v>
      </c>
      <c r="E169" s="1">
        <v>1945</v>
      </c>
      <c r="F169" s="1">
        <v>15</v>
      </c>
      <c r="G169" s="1">
        <v>29175</v>
      </c>
      <c r="H169" s="1">
        <v>28299.75</v>
      </c>
      <c r="I169" s="1">
        <v>8849.75</v>
      </c>
      <c r="J169" t="s">
        <v>10</v>
      </c>
      <c r="K169">
        <v>2018</v>
      </c>
    </row>
    <row r="170" spans="1:11" hidden="1" x14ac:dyDescent="0.3">
      <c r="A170" t="s">
        <v>17</v>
      </c>
      <c r="B170" t="s">
        <v>14</v>
      </c>
      <c r="C170" t="s">
        <v>5</v>
      </c>
      <c r="D170" t="s">
        <v>27</v>
      </c>
      <c r="E170" s="1">
        <v>1287</v>
      </c>
      <c r="F170" s="1">
        <v>125</v>
      </c>
      <c r="G170" s="1">
        <v>160875</v>
      </c>
      <c r="H170" s="1">
        <v>156048.75</v>
      </c>
      <c r="I170" s="1">
        <v>1608.75</v>
      </c>
      <c r="J170" t="s">
        <v>15</v>
      </c>
      <c r="K170">
        <v>2019</v>
      </c>
    </row>
    <row r="171" spans="1:11" hidden="1" x14ac:dyDescent="0.3">
      <c r="A171" t="s">
        <v>17</v>
      </c>
      <c r="B171" t="s">
        <v>41</v>
      </c>
      <c r="C171" t="s">
        <v>5</v>
      </c>
      <c r="D171" t="s">
        <v>27</v>
      </c>
      <c r="E171" s="1">
        <v>1706</v>
      </c>
      <c r="F171" s="1">
        <v>125</v>
      </c>
      <c r="G171" s="1">
        <v>213250</v>
      </c>
      <c r="H171" s="1">
        <v>206852.5</v>
      </c>
      <c r="I171" s="1">
        <v>2132.5</v>
      </c>
      <c r="J171" t="s">
        <v>15</v>
      </c>
      <c r="K171">
        <v>2019</v>
      </c>
    </row>
    <row r="172" spans="1:11" hidden="1" x14ac:dyDescent="0.3">
      <c r="A172" t="s">
        <v>17</v>
      </c>
      <c r="B172" t="s">
        <v>40</v>
      </c>
      <c r="C172" t="s">
        <v>20</v>
      </c>
      <c r="D172" t="s">
        <v>27</v>
      </c>
      <c r="E172" s="1">
        <v>2009</v>
      </c>
      <c r="F172" s="1">
        <v>125</v>
      </c>
      <c r="G172" s="1">
        <v>251125</v>
      </c>
      <c r="H172" s="1">
        <v>243591.25</v>
      </c>
      <c r="I172" s="1">
        <v>2511.25</v>
      </c>
      <c r="J172" t="s">
        <v>10</v>
      </c>
      <c r="K172">
        <v>2019</v>
      </c>
    </row>
    <row r="173" spans="1:11" hidden="1" x14ac:dyDescent="0.3">
      <c r="A173" t="s">
        <v>12</v>
      </c>
      <c r="B173" t="s">
        <v>42</v>
      </c>
      <c r="C173" t="s">
        <v>2</v>
      </c>
      <c r="D173" t="s">
        <v>27</v>
      </c>
      <c r="E173" s="1">
        <v>2844</v>
      </c>
      <c r="F173" s="1">
        <v>300</v>
      </c>
      <c r="G173" s="1">
        <v>853200</v>
      </c>
      <c r="H173" s="1">
        <v>827604</v>
      </c>
      <c r="I173" s="1">
        <v>116604</v>
      </c>
      <c r="J173" t="s">
        <v>7</v>
      </c>
      <c r="K173">
        <v>2019</v>
      </c>
    </row>
    <row r="174" spans="1:11" hidden="1" x14ac:dyDescent="0.3">
      <c r="A174" t="s">
        <v>3</v>
      </c>
      <c r="B174" t="s">
        <v>9</v>
      </c>
      <c r="C174" t="s">
        <v>2</v>
      </c>
      <c r="D174" t="s">
        <v>27</v>
      </c>
      <c r="E174" s="1">
        <v>1916</v>
      </c>
      <c r="F174" s="1">
        <v>12</v>
      </c>
      <c r="G174" s="1">
        <v>22992</v>
      </c>
      <c r="H174" s="1">
        <v>22302.240000000002</v>
      </c>
      <c r="I174" s="1">
        <v>16554.240000000002</v>
      </c>
      <c r="J174" t="s">
        <v>4</v>
      </c>
      <c r="K174">
        <v>2019</v>
      </c>
    </row>
    <row r="175" spans="1:11" hidden="1" x14ac:dyDescent="0.3">
      <c r="A175" t="s">
        <v>17</v>
      </c>
      <c r="B175" t="s">
        <v>41</v>
      </c>
      <c r="C175" t="s">
        <v>2</v>
      </c>
      <c r="D175" t="s">
        <v>27</v>
      </c>
      <c r="E175" s="1">
        <v>1570</v>
      </c>
      <c r="F175" s="1">
        <v>125</v>
      </c>
      <c r="G175" s="1">
        <v>196250</v>
      </c>
      <c r="H175" s="1">
        <v>190362.5</v>
      </c>
      <c r="I175" s="1">
        <v>1962.5</v>
      </c>
      <c r="J175" t="s">
        <v>25</v>
      </c>
      <c r="K175">
        <v>2019</v>
      </c>
    </row>
    <row r="176" spans="1:11" hidden="1" x14ac:dyDescent="0.3">
      <c r="A176" t="s">
        <v>12</v>
      </c>
      <c r="B176" t="s">
        <v>40</v>
      </c>
      <c r="C176" t="s">
        <v>2</v>
      </c>
      <c r="D176" t="s">
        <v>27</v>
      </c>
      <c r="E176" s="1">
        <v>1874</v>
      </c>
      <c r="F176" s="1">
        <v>300</v>
      </c>
      <c r="G176" s="1">
        <v>562200</v>
      </c>
      <c r="H176" s="1">
        <v>545334</v>
      </c>
      <c r="I176" s="1">
        <v>76834</v>
      </c>
      <c r="J176" t="s">
        <v>22</v>
      </c>
      <c r="K176">
        <v>2019</v>
      </c>
    </row>
    <row r="177" spans="1:11" hidden="1" x14ac:dyDescent="0.3">
      <c r="A177" t="s">
        <v>6</v>
      </c>
      <c r="B177" t="s">
        <v>9</v>
      </c>
      <c r="C177" t="s">
        <v>2</v>
      </c>
      <c r="D177" t="s">
        <v>27</v>
      </c>
      <c r="E177" s="1">
        <v>1642</v>
      </c>
      <c r="F177" s="1">
        <v>350</v>
      </c>
      <c r="G177" s="1">
        <v>574700</v>
      </c>
      <c r="H177" s="1">
        <v>557459</v>
      </c>
      <c r="I177" s="1">
        <v>130539</v>
      </c>
      <c r="J177" t="s">
        <v>22</v>
      </c>
      <c r="K177">
        <v>2019</v>
      </c>
    </row>
    <row r="178" spans="1:11" hidden="1" x14ac:dyDescent="0.3">
      <c r="A178" t="s">
        <v>18</v>
      </c>
      <c r="B178" t="s">
        <v>41</v>
      </c>
      <c r="C178" t="s">
        <v>2</v>
      </c>
      <c r="D178" t="s">
        <v>27</v>
      </c>
      <c r="E178" s="1">
        <v>1945</v>
      </c>
      <c r="F178" s="1">
        <v>15</v>
      </c>
      <c r="G178" s="1">
        <v>29175</v>
      </c>
      <c r="H178" s="1">
        <v>28299.75</v>
      </c>
      <c r="I178" s="1">
        <v>8849.75</v>
      </c>
      <c r="J178" t="s">
        <v>10</v>
      </c>
      <c r="K178">
        <v>2018</v>
      </c>
    </row>
    <row r="179" spans="1:11" hidden="1" x14ac:dyDescent="0.3">
      <c r="A179" t="s">
        <v>6</v>
      </c>
      <c r="B179" t="s">
        <v>40</v>
      </c>
      <c r="C179" t="s">
        <v>23</v>
      </c>
      <c r="D179" t="s">
        <v>27</v>
      </c>
      <c r="E179" s="1">
        <v>831</v>
      </c>
      <c r="F179" s="1">
        <v>20</v>
      </c>
      <c r="G179" s="1">
        <v>16620</v>
      </c>
      <c r="H179" s="1">
        <v>16121.4</v>
      </c>
      <c r="I179" s="1">
        <v>7811.4</v>
      </c>
      <c r="J179" t="s">
        <v>0</v>
      </c>
      <c r="K179">
        <v>2019</v>
      </c>
    </row>
    <row r="180" spans="1:11" hidden="1" x14ac:dyDescent="0.3">
      <c r="A180" t="s">
        <v>6</v>
      </c>
      <c r="B180" t="s">
        <v>9</v>
      </c>
      <c r="C180" t="s">
        <v>5</v>
      </c>
      <c r="D180" t="s">
        <v>27</v>
      </c>
      <c r="E180" s="1">
        <v>1760</v>
      </c>
      <c r="F180" s="1">
        <v>7</v>
      </c>
      <c r="G180" s="1">
        <v>12320</v>
      </c>
      <c r="H180" s="1">
        <v>11950.4</v>
      </c>
      <c r="I180" s="1">
        <v>3150.3999999999996</v>
      </c>
      <c r="J180" t="s">
        <v>21</v>
      </c>
      <c r="K180">
        <v>2018</v>
      </c>
    </row>
    <row r="181" spans="1:11" hidden="1" x14ac:dyDescent="0.3">
      <c r="A181" t="s">
        <v>6</v>
      </c>
      <c r="B181" t="s">
        <v>40</v>
      </c>
      <c r="C181" t="s">
        <v>20</v>
      </c>
      <c r="D181" t="s">
        <v>27</v>
      </c>
      <c r="E181" s="1">
        <v>3850.5</v>
      </c>
      <c r="F181" s="1">
        <v>20</v>
      </c>
      <c r="G181" s="1">
        <v>77010</v>
      </c>
      <c r="H181" s="1">
        <v>74699.700000000012</v>
      </c>
      <c r="I181" s="1">
        <v>36194.700000000004</v>
      </c>
      <c r="J181" t="s">
        <v>4</v>
      </c>
      <c r="K181">
        <v>2019</v>
      </c>
    </row>
    <row r="182" spans="1:11" hidden="1" x14ac:dyDescent="0.3">
      <c r="A182" t="s">
        <v>3</v>
      </c>
      <c r="B182" t="s">
        <v>41</v>
      </c>
      <c r="C182" t="s">
        <v>2</v>
      </c>
      <c r="D182" t="s">
        <v>27</v>
      </c>
      <c r="E182" s="1">
        <v>2479</v>
      </c>
      <c r="F182" s="1">
        <v>12</v>
      </c>
      <c r="G182" s="1">
        <v>29748</v>
      </c>
      <c r="H182" s="1">
        <v>28855.56</v>
      </c>
      <c r="I182" s="1">
        <v>21418.560000000001</v>
      </c>
      <c r="J182" t="s">
        <v>24</v>
      </c>
      <c r="K182">
        <v>2019</v>
      </c>
    </row>
    <row r="183" spans="1:11" hidden="1" x14ac:dyDescent="0.3">
      <c r="A183" t="s">
        <v>18</v>
      </c>
      <c r="B183" t="s">
        <v>9</v>
      </c>
      <c r="C183" t="s">
        <v>8</v>
      </c>
      <c r="D183" t="s">
        <v>27</v>
      </c>
      <c r="E183" s="1">
        <v>2031</v>
      </c>
      <c r="F183" s="1">
        <v>15</v>
      </c>
      <c r="G183" s="1">
        <v>30465</v>
      </c>
      <c r="H183" s="1">
        <v>29246.400000000001</v>
      </c>
      <c r="I183" s="1">
        <v>8936.4000000000015</v>
      </c>
      <c r="J183" t="s">
        <v>10</v>
      </c>
      <c r="K183">
        <v>2019</v>
      </c>
    </row>
    <row r="184" spans="1:11" hidden="1" x14ac:dyDescent="0.3">
      <c r="A184" t="s">
        <v>18</v>
      </c>
      <c r="B184" t="s">
        <v>9</v>
      </c>
      <c r="C184" t="s">
        <v>5</v>
      </c>
      <c r="D184" t="s">
        <v>27</v>
      </c>
      <c r="E184" s="1">
        <v>2031</v>
      </c>
      <c r="F184" s="1">
        <v>15</v>
      </c>
      <c r="G184" s="1">
        <v>30465</v>
      </c>
      <c r="H184" s="1">
        <v>29246.400000000001</v>
      </c>
      <c r="I184" s="1">
        <v>8936.4000000000015</v>
      </c>
      <c r="J184" t="s">
        <v>10</v>
      </c>
      <c r="K184">
        <v>2019</v>
      </c>
    </row>
    <row r="185" spans="1:11" hidden="1" x14ac:dyDescent="0.3">
      <c r="A185" t="s">
        <v>18</v>
      </c>
      <c r="B185" t="s">
        <v>14</v>
      </c>
      <c r="C185" t="s">
        <v>5</v>
      </c>
      <c r="D185" t="s">
        <v>27</v>
      </c>
      <c r="E185" s="1">
        <v>2261</v>
      </c>
      <c r="F185" s="1">
        <v>15</v>
      </c>
      <c r="G185" s="1">
        <v>33915</v>
      </c>
      <c r="H185" s="1">
        <v>32558.400000000001</v>
      </c>
      <c r="I185" s="1">
        <v>9948.4000000000015</v>
      </c>
      <c r="J185" t="s">
        <v>15</v>
      </c>
      <c r="K185">
        <v>2018</v>
      </c>
    </row>
    <row r="186" spans="1:11" hidden="1" x14ac:dyDescent="0.3">
      <c r="A186" t="s">
        <v>6</v>
      </c>
      <c r="B186" t="s">
        <v>42</v>
      </c>
      <c r="C186" t="s">
        <v>20</v>
      </c>
      <c r="D186" t="s">
        <v>27</v>
      </c>
      <c r="E186" s="1">
        <v>736</v>
      </c>
      <c r="F186" s="1">
        <v>20</v>
      </c>
      <c r="G186" s="1">
        <v>14720</v>
      </c>
      <c r="H186" s="1">
        <v>14131.2</v>
      </c>
      <c r="I186" s="1">
        <v>6771.2000000000007</v>
      </c>
      <c r="J186" t="s">
        <v>21</v>
      </c>
      <c r="K186">
        <v>2018</v>
      </c>
    </row>
    <row r="187" spans="1:11" hidden="1" x14ac:dyDescent="0.3">
      <c r="A187" t="s">
        <v>6</v>
      </c>
      <c r="B187" t="s">
        <v>40</v>
      </c>
      <c r="C187" t="s">
        <v>23</v>
      </c>
      <c r="D187" t="s">
        <v>27</v>
      </c>
      <c r="E187" s="1">
        <v>2851</v>
      </c>
      <c r="F187" s="1">
        <v>7</v>
      </c>
      <c r="G187" s="1">
        <v>19957</v>
      </c>
      <c r="H187" s="1">
        <v>19158.72</v>
      </c>
      <c r="I187" s="1">
        <v>4903.7200000000012</v>
      </c>
      <c r="J187" t="s">
        <v>10</v>
      </c>
      <c r="K187">
        <v>2018</v>
      </c>
    </row>
    <row r="188" spans="1:11" hidden="1" x14ac:dyDescent="0.3">
      <c r="A188" t="s">
        <v>12</v>
      </c>
      <c r="B188" t="s">
        <v>41</v>
      </c>
      <c r="C188" t="s">
        <v>23</v>
      </c>
      <c r="D188" t="s">
        <v>27</v>
      </c>
      <c r="E188" s="1">
        <v>2021</v>
      </c>
      <c r="F188" s="1">
        <v>300</v>
      </c>
      <c r="G188" s="1">
        <v>606300</v>
      </c>
      <c r="H188" s="1">
        <v>582048</v>
      </c>
      <c r="I188" s="1">
        <v>76798</v>
      </c>
      <c r="J188" t="s">
        <v>10</v>
      </c>
      <c r="K188">
        <v>2019</v>
      </c>
    </row>
    <row r="189" spans="1:11" hidden="1" x14ac:dyDescent="0.3">
      <c r="A189" t="s">
        <v>6</v>
      </c>
      <c r="B189" t="s">
        <v>42</v>
      </c>
      <c r="C189" t="s">
        <v>23</v>
      </c>
      <c r="D189" t="s">
        <v>27</v>
      </c>
      <c r="E189" s="1">
        <v>274</v>
      </c>
      <c r="F189" s="1">
        <v>350</v>
      </c>
      <c r="G189" s="1">
        <v>95900</v>
      </c>
      <c r="H189" s="1">
        <v>92064</v>
      </c>
      <c r="I189" s="1">
        <v>20824</v>
      </c>
      <c r="J189" t="s">
        <v>15</v>
      </c>
      <c r="K189">
        <v>2019</v>
      </c>
    </row>
    <row r="190" spans="1:11" hidden="1" x14ac:dyDescent="0.3">
      <c r="A190" t="s">
        <v>18</v>
      </c>
      <c r="B190" t="s">
        <v>40</v>
      </c>
      <c r="C190" t="s">
        <v>8</v>
      </c>
      <c r="D190" t="s">
        <v>27</v>
      </c>
      <c r="E190" s="1">
        <v>1967</v>
      </c>
      <c r="F190" s="1">
        <v>15</v>
      </c>
      <c r="G190" s="1">
        <v>29505</v>
      </c>
      <c r="H190" s="1">
        <v>28324.799999999999</v>
      </c>
      <c r="I190" s="1">
        <v>8654.7999999999993</v>
      </c>
      <c r="J190" t="s">
        <v>13</v>
      </c>
      <c r="K190">
        <v>2019</v>
      </c>
    </row>
    <row r="191" spans="1:11" hidden="1" x14ac:dyDescent="0.3">
      <c r="A191" t="s">
        <v>12</v>
      </c>
      <c r="B191" t="s">
        <v>41</v>
      </c>
      <c r="C191" t="s">
        <v>8</v>
      </c>
      <c r="D191" t="s">
        <v>27</v>
      </c>
      <c r="E191" s="1">
        <v>1859</v>
      </c>
      <c r="F191" s="1">
        <v>300</v>
      </c>
      <c r="G191" s="1">
        <v>557700</v>
      </c>
      <c r="H191" s="1">
        <v>535392</v>
      </c>
      <c r="I191" s="1">
        <v>70642</v>
      </c>
      <c r="J191" t="s">
        <v>22</v>
      </c>
      <c r="K191">
        <v>2019</v>
      </c>
    </row>
    <row r="192" spans="1:11" hidden="1" x14ac:dyDescent="0.3">
      <c r="A192" t="s">
        <v>6</v>
      </c>
      <c r="B192" t="s">
        <v>40</v>
      </c>
      <c r="C192" t="s">
        <v>8</v>
      </c>
      <c r="D192" t="s">
        <v>27</v>
      </c>
      <c r="E192" s="1">
        <v>2851</v>
      </c>
      <c r="F192" s="1">
        <v>7</v>
      </c>
      <c r="G192" s="1">
        <v>19957</v>
      </c>
      <c r="H192" s="1">
        <v>19158.72</v>
      </c>
      <c r="I192" s="1">
        <v>4903.7200000000012</v>
      </c>
      <c r="J192" t="s">
        <v>10</v>
      </c>
      <c r="K192">
        <v>2018</v>
      </c>
    </row>
    <row r="193" spans="1:11" hidden="1" x14ac:dyDescent="0.3">
      <c r="A193" t="s">
        <v>12</v>
      </c>
      <c r="B193" t="s">
        <v>41</v>
      </c>
      <c r="C193" t="s">
        <v>8</v>
      </c>
      <c r="D193" t="s">
        <v>27</v>
      </c>
      <c r="E193" s="1">
        <v>2021</v>
      </c>
      <c r="F193" s="1">
        <v>300</v>
      </c>
      <c r="G193" s="1">
        <v>606300</v>
      </c>
      <c r="H193" s="1">
        <v>582048</v>
      </c>
      <c r="I193" s="1">
        <v>76798</v>
      </c>
      <c r="J193" t="s">
        <v>10</v>
      </c>
      <c r="K193">
        <v>2019</v>
      </c>
    </row>
    <row r="194" spans="1:11" hidden="1" x14ac:dyDescent="0.3">
      <c r="A194" t="s">
        <v>17</v>
      </c>
      <c r="B194" t="s">
        <v>9</v>
      </c>
      <c r="C194" t="s">
        <v>8</v>
      </c>
      <c r="D194" t="s">
        <v>27</v>
      </c>
      <c r="E194" s="1">
        <v>1138</v>
      </c>
      <c r="F194" s="1">
        <v>125</v>
      </c>
      <c r="G194" s="1">
        <v>142250</v>
      </c>
      <c r="H194" s="1">
        <v>136560</v>
      </c>
      <c r="I194" s="1">
        <v>0</v>
      </c>
      <c r="J194" t="s">
        <v>15</v>
      </c>
      <c r="K194">
        <v>2019</v>
      </c>
    </row>
    <row r="195" spans="1:11" hidden="1" x14ac:dyDescent="0.3">
      <c r="A195" t="s">
        <v>6</v>
      </c>
      <c r="B195" t="s">
        <v>40</v>
      </c>
      <c r="C195" t="s">
        <v>5</v>
      </c>
      <c r="D195" t="s">
        <v>27</v>
      </c>
      <c r="E195" s="1">
        <v>4251</v>
      </c>
      <c r="F195" s="1">
        <v>7</v>
      </c>
      <c r="G195" s="1">
        <v>29757</v>
      </c>
      <c r="H195" s="1">
        <v>28566.720000000001</v>
      </c>
      <c r="I195" s="1">
        <v>7311.7199999999993</v>
      </c>
      <c r="J195" t="s">
        <v>24</v>
      </c>
      <c r="K195">
        <v>2019</v>
      </c>
    </row>
    <row r="196" spans="1:11" hidden="1" x14ac:dyDescent="0.3">
      <c r="A196" t="s">
        <v>17</v>
      </c>
      <c r="B196" t="s">
        <v>41</v>
      </c>
      <c r="C196" t="s">
        <v>5</v>
      </c>
      <c r="D196" t="s">
        <v>27</v>
      </c>
      <c r="E196" s="1">
        <v>795</v>
      </c>
      <c r="F196" s="1">
        <v>125</v>
      </c>
      <c r="G196" s="1">
        <v>99375</v>
      </c>
      <c r="H196" s="1">
        <v>95400</v>
      </c>
      <c r="I196" s="1">
        <v>0</v>
      </c>
      <c r="J196" t="s">
        <v>13</v>
      </c>
      <c r="K196">
        <v>2019</v>
      </c>
    </row>
    <row r="197" spans="1:11" hidden="1" x14ac:dyDescent="0.3">
      <c r="A197" t="s">
        <v>12</v>
      </c>
      <c r="B197" t="s">
        <v>41</v>
      </c>
      <c r="C197" t="s">
        <v>5</v>
      </c>
      <c r="D197" t="s">
        <v>27</v>
      </c>
      <c r="E197" s="1">
        <v>1414.5</v>
      </c>
      <c r="F197" s="1">
        <v>300</v>
      </c>
      <c r="G197" s="1">
        <v>424350</v>
      </c>
      <c r="H197" s="1">
        <v>407376</v>
      </c>
      <c r="I197" s="1">
        <v>53751</v>
      </c>
      <c r="J197" t="s">
        <v>4</v>
      </c>
      <c r="K197">
        <v>2019</v>
      </c>
    </row>
    <row r="198" spans="1:11" hidden="1" x14ac:dyDescent="0.3">
      <c r="A198" t="s">
        <v>12</v>
      </c>
      <c r="B198" t="s">
        <v>42</v>
      </c>
      <c r="C198" t="s">
        <v>5</v>
      </c>
      <c r="D198" t="s">
        <v>27</v>
      </c>
      <c r="E198" s="1">
        <v>2918</v>
      </c>
      <c r="F198" s="1">
        <v>300</v>
      </c>
      <c r="G198" s="1">
        <v>875400</v>
      </c>
      <c r="H198" s="1">
        <v>840384</v>
      </c>
      <c r="I198" s="1">
        <v>110884</v>
      </c>
      <c r="J198" t="s">
        <v>0</v>
      </c>
      <c r="K198">
        <v>2019</v>
      </c>
    </row>
    <row r="199" spans="1:11" hidden="1" x14ac:dyDescent="0.3">
      <c r="A199" t="s">
        <v>6</v>
      </c>
      <c r="B199" t="s">
        <v>42</v>
      </c>
      <c r="C199" t="s">
        <v>5</v>
      </c>
      <c r="D199" t="s">
        <v>27</v>
      </c>
      <c r="E199" s="1">
        <v>3450</v>
      </c>
      <c r="F199" s="1">
        <v>350</v>
      </c>
      <c r="G199" s="1">
        <v>1207500</v>
      </c>
      <c r="H199" s="1">
        <v>1159200</v>
      </c>
      <c r="I199" s="1">
        <v>262200</v>
      </c>
      <c r="J199" t="s">
        <v>19</v>
      </c>
      <c r="K199">
        <v>2019</v>
      </c>
    </row>
    <row r="200" spans="1:11" hidden="1" x14ac:dyDescent="0.3">
      <c r="A200" t="s">
        <v>17</v>
      </c>
      <c r="B200" t="s">
        <v>14</v>
      </c>
      <c r="C200" t="s">
        <v>5</v>
      </c>
      <c r="D200" t="s">
        <v>27</v>
      </c>
      <c r="E200" s="1">
        <v>2988</v>
      </c>
      <c r="F200" s="1">
        <v>125</v>
      </c>
      <c r="G200" s="1">
        <v>373500</v>
      </c>
      <c r="H200" s="1">
        <v>358560</v>
      </c>
      <c r="I200" s="1">
        <v>0</v>
      </c>
      <c r="J200" t="s">
        <v>19</v>
      </c>
      <c r="K200">
        <v>2019</v>
      </c>
    </row>
    <row r="201" spans="1:11" hidden="1" x14ac:dyDescent="0.3">
      <c r="A201" t="s">
        <v>18</v>
      </c>
      <c r="B201" t="s">
        <v>40</v>
      </c>
      <c r="C201" t="s">
        <v>5</v>
      </c>
      <c r="D201" t="s">
        <v>27</v>
      </c>
      <c r="E201" s="1">
        <v>218</v>
      </c>
      <c r="F201" s="1">
        <v>15</v>
      </c>
      <c r="G201" s="1">
        <v>3270</v>
      </c>
      <c r="H201" s="1">
        <v>3139.2</v>
      </c>
      <c r="I201" s="1">
        <v>959.19999999999982</v>
      </c>
      <c r="J201" t="s">
        <v>21</v>
      </c>
      <c r="K201">
        <v>2019</v>
      </c>
    </row>
    <row r="202" spans="1:11" hidden="1" x14ac:dyDescent="0.3">
      <c r="A202" t="s">
        <v>6</v>
      </c>
      <c r="B202" t="s">
        <v>40</v>
      </c>
      <c r="C202" t="s">
        <v>5</v>
      </c>
      <c r="D202" t="s">
        <v>27</v>
      </c>
      <c r="E202" s="1">
        <v>2074</v>
      </c>
      <c r="F202" s="1">
        <v>20</v>
      </c>
      <c r="G202" s="1">
        <v>41480</v>
      </c>
      <c r="H202" s="1">
        <v>39820.800000000003</v>
      </c>
      <c r="I202" s="1">
        <v>19080.800000000003</v>
      </c>
      <c r="J202" t="s">
        <v>21</v>
      </c>
      <c r="K202">
        <v>2019</v>
      </c>
    </row>
    <row r="203" spans="1:11" hidden="1" x14ac:dyDescent="0.3">
      <c r="A203" t="s">
        <v>6</v>
      </c>
      <c r="B203" t="s">
        <v>42</v>
      </c>
      <c r="C203" t="s">
        <v>5</v>
      </c>
      <c r="D203" t="s">
        <v>27</v>
      </c>
      <c r="E203" s="1">
        <v>1056</v>
      </c>
      <c r="F203" s="1">
        <v>20</v>
      </c>
      <c r="G203" s="1">
        <v>21120</v>
      </c>
      <c r="H203" s="1">
        <v>20275.2</v>
      </c>
      <c r="I203" s="1">
        <v>9715.2000000000007</v>
      </c>
      <c r="J203" t="s">
        <v>21</v>
      </c>
      <c r="K203">
        <v>2019</v>
      </c>
    </row>
    <row r="204" spans="1:11" hidden="1" x14ac:dyDescent="0.3">
      <c r="A204" t="s">
        <v>18</v>
      </c>
      <c r="B204" t="s">
        <v>42</v>
      </c>
      <c r="C204" t="s">
        <v>5</v>
      </c>
      <c r="D204" t="s">
        <v>27</v>
      </c>
      <c r="E204" s="1">
        <v>671</v>
      </c>
      <c r="F204" s="1">
        <v>15</v>
      </c>
      <c r="G204" s="1">
        <v>10065</v>
      </c>
      <c r="H204" s="1">
        <v>9662.4</v>
      </c>
      <c r="I204" s="1">
        <v>2952.3999999999996</v>
      </c>
      <c r="J204" t="s">
        <v>10</v>
      </c>
      <c r="K204">
        <v>2018</v>
      </c>
    </row>
    <row r="205" spans="1:11" hidden="1" x14ac:dyDescent="0.3">
      <c r="A205" t="s">
        <v>18</v>
      </c>
      <c r="B205" t="s">
        <v>9</v>
      </c>
      <c r="C205" t="s">
        <v>5</v>
      </c>
      <c r="D205" t="s">
        <v>27</v>
      </c>
      <c r="E205" s="1">
        <v>1514</v>
      </c>
      <c r="F205" s="1">
        <v>15</v>
      </c>
      <c r="G205" s="1">
        <v>22710</v>
      </c>
      <c r="H205" s="1">
        <v>21801.599999999999</v>
      </c>
      <c r="I205" s="1">
        <v>6661.5999999999985</v>
      </c>
      <c r="J205" t="s">
        <v>10</v>
      </c>
      <c r="K205">
        <v>2018</v>
      </c>
    </row>
    <row r="206" spans="1:11" hidden="1" x14ac:dyDescent="0.3">
      <c r="A206" t="s">
        <v>6</v>
      </c>
      <c r="B206" t="s">
        <v>42</v>
      </c>
      <c r="C206" t="s">
        <v>5</v>
      </c>
      <c r="D206" t="s">
        <v>27</v>
      </c>
      <c r="E206" s="1">
        <v>274</v>
      </c>
      <c r="F206" s="1">
        <v>350</v>
      </c>
      <c r="G206" s="1">
        <v>95900</v>
      </c>
      <c r="H206" s="1">
        <v>92064</v>
      </c>
      <c r="I206" s="1">
        <v>20824</v>
      </c>
      <c r="J206" t="s">
        <v>15</v>
      </c>
      <c r="K206">
        <v>2019</v>
      </c>
    </row>
    <row r="207" spans="1:11" hidden="1" x14ac:dyDescent="0.3">
      <c r="A207" t="s">
        <v>17</v>
      </c>
      <c r="B207" t="s">
        <v>9</v>
      </c>
      <c r="C207" t="s">
        <v>5</v>
      </c>
      <c r="D207" t="s">
        <v>27</v>
      </c>
      <c r="E207" s="1">
        <v>1138</v>
      </c>
      <c r="F207" s="1">
        <v>125</v>
      </c>
      <c r="G207" s="1">
        <v>142250</v>
      </c>
      <c r="H207" s="1">
        <v>136560</v>
      </c>
      <c r="I207" s="1">
        <v>0</v>
      </c>
      <c r="J207" t="s">
        <v>15</v>
      </c>
      <c r="K207">
        <v>2019</v>
      </c>
    </row>
    <row r="208" spans="1:11" hidden="1" x14ac:dyDescent="0.3">
      <c r="A208" t="s">
        <v>3</v>
      </c>
      <c r="B208" t="s">
        <v>42</v>
      </c>
      <c r="C208" t="s">
        <v>20</v>
      </c>
      <c r="D208" t="s">
        <v>27</v>
      </c>
      <c r="E208" s="1">
        <v>1465</v>
      </c>
      <c r="F208" s="1">
        <v>12</v>
      </c>
      <c r="G208" s="1">
        <v>17580</v>
      </c>
      <c r="H208" s="1">
        <v>16876.8</v>
      </c>
      <c r="I208" s="1">
        <v>12481.8</v>
      </c>
      <c r="J208" t="s">
        <v>13</v>
      </c>
      <c r="K208">
        <v>2019</v>
      </c>
    </row>
    <row r="209" spans="1:11" hidden="1" x14ac:dyDescent="0.3">
      <c r="A209" t="s">
        <v>6</v>
      </c>
      <c r="B209" t="s">
        <v>40</v>
      </c>
      <c r="C209" t="s">
        <v>20</v>
      </c>
      <c r="D209" t="s">
        <v>27</v>
      </c>
      <c r="E209" s="1">
        <v>2646</v>
      </c>
      <c r="F209" s="1">
        <v>20</v>
      </c>
      <c r="G209" s="1">
        <v>52920</v>
      </c>
      <c r="H209" s="1">
        <v>50803.199999999997</v>
      </c>
      <c r="I209" s="1">
        <v>24343.199999999997</v>
      </c>
      <c r="J209" t="s">
        <v>21</v>
      </c>
      <c r="K209">
        <v>2018</v>
      </c>
    </row>
    <row r="210" spans="1:11" hidden="1" x14ac:dyDescent="0.3">
      <c r="A210" t="s">
        <v>6</v>
      </c>
      <c r="B210" t="s">
        <v>14</v>
      </c>
      <c r="C210" t="s">
        <v>20</v>
      </c>
      <c r="D210" t="s">
        <v>27</v>
      </c>
      <c r="E210" s="1">
        <v>2177</v>
      </c>
      <c r="F210" s="1">
        <v>350</v>
      </c>
      <c r="G210" s="1">
        <v>761950</v>
      </c>
      <c r="H210" s="1">
        <v>731472</v>
      </c>
      <c r="I210" s="1">
        <v>165452</v>
      </c>
      <c r="J210" t="s">
        <v>10</v>
      </c>
      <c r="K210">
        <v>2019</v>
      </c>
    </row>
    <row r="211" spans="1:11" hidden="1" x14ac:dyDescent="0.3">
      <c r="A211" t="s">
        <v>3</v>
      </c>
      <c r="B211" t="s">
        <v>14</v>
      </c>
      <c r="C211" t="s">
        <v>2</v>
      </c>
      <c r="D211" t="s">
        <v>27</v>
      </c>
      <c r="E211" s="1">
        <v>866</v>
      </c>
      <c r="F211" s="1">
        <v>12</v>
      </c>
      <c r="G211" s="1">
        <v>10392</v>
      </c>
      <c r="H211" s="1">
        <v>9976.32</v>
      </c>
      <c r="I211" s="1">
        <v>7378.32</v>
      </c>
      <c r="J211" t="s">
        <v>0</v>
      </c>
      <c r="K211">
        <v>2019</v>
      </c>
    </row>
    <row r="212" spans="1:11" hidden="1" x14ac:dyDescent="0.3">
      <c r="A212" t="s">
        <v>6</v>
      </c>
      <c r="B212" t="s">
        <v>42</v>
      </c>
      <c r="C212" t="s">
        <v>2</v>
      </c>
      <c r="D212" t="s">
        <v>27</v>
      </c>
      <c r="E212" s="1">
        <v>349</v>
      </c>
      <c r="F212" s="1">
        <v>350</v>
      </c>
      <c r="G212" s="1">
        <v>122150</v>
      </c>
      <c r="H212" s="1">
        <v>117264</v>
      </c>
      <c r="I212" s="1">
        <v>26524</v>
      </c>
      <c r="J212" t="s">
        <v>21</v>
      </c>
      <c r="K212">
        <v>2018</v>
      </c>
    </row>
    <row r="213" spans="1:11" hidden="1" x14ac:dyDescent="0.3">
      <c r="A213" t="s">
        <v>6</v>
      </c>
      <c r="B213" t="s">
        <v>14</v>
      </c>
      <c r="C213" t="s">
        <v>2</v>
      </c>
      <c r="D213" t="s">
        <v>27</v>
      </c>
      <c r="E213" s="1">
        <v>2177</v>
      </c>
      <c r="F213" s="1">
        <v>350</v>
      </c>
      <c r="G213" s="1">
        <v>761950</v>
      </c>
      <c r="H213" s="1">
        <v>731472</v>
      </c>
      <c r="I213" s="1">
        <v>165452</v>
      </c>
      <c r="J213" t="s">
        <v>10</v>
      </c>
      <c r="K213">
        <v>2019</v>
      </c>
    </row>
    <row r="214" spans="1:11" hidden="1" x14ac:dyDescent="0.3">
      <c r="A214" t="s">
        <v>18</v>
      </c>
      <c r="B214" t="s">
        <v>9</v>
      </c>
      <c r="C214" t="s">
        <v>2</v>
      </c>
      <c r="D214" t="s">
        <v>27</v>
      </c>
      <c r="E214" s="1">
        <v>1514</v>
      </c>
      <c r="F214" s="1">
        <v>15</v>
      </c>
      <c r="G214" s="1">
        <v>22710</v>
      </c>
      <c r="H214" s="1">
        <v>21801.599999999999</v>
      </c>
      <c r="I214" s="1">
        <v>6661.5999999999985</v>
      </c>
      <c r="J214" t="s">
        <v>10</v>
      </c>
      <c r="K214">
        <v>2018</v>
      </c>
    </row>
    <row r="215" spans="1:11" hidden="1" x14ac:dyDescent="0.3">
      <c r="A215" t="s">
        <v>6</v>
      </c>
      <c r="B215" t="s">
        <v>9</v>
      </c>
      <c r="C215" t="s">
        <v>11</v>
      </c>
      <c r="D215" t="s">
        <v>27</v>
      </c>
      <c r="E215" s="1">
        <v>1865</v>
      </c>
      <c r="F215" s="1">
        <v>350</v>
      </c>
      <c r="G215" s="1">
        <v>652750</v>
      </c>
      <c r="H215" s="1">
        <v>626640</v>
      </c>
      <c r="I215" s="1">
        <v>141740</v>
      </c>
      <c r="J215" t="s">
        <v>7</v>
      </c>
      <c r="K215">
        <v>2019</v>
      </c>
    </row>
    <row r="216" spans="1:11" hidden="1" x14ac:dyDescent="0.3">
      <c r="A216" t="s">
        <v>17</v>
      </c>
      <c r="B216" t="s">
        <v>9</v>
      </c>
      <c r="C216" t="s">
        <v>11</v>
      </c>
      <c r="D216" t="s">
        <v>27</v>
      </c>
      <c r="E216" s="1">
        <v>1074</v>
      </c>
      <c r="F216" s="1">
        <v>125</v>
      </c>
      <c r="G216" s="1">
        <v>134250</v>
      </c>
      <c r="H216" s="1">
        <v>128880</v>
      </c>
      <c r="I216" s="1">
        <v>0</v>
      </c>
      <c r="J216" t="s">
        <v>4</v>
      </c>
      <c r="K216">
        <v>2019</v>
      </c>
    </row>
    <row r="217" spans="1:11" hidden="1" x14ac:dyDescent="0.3">
      <c r="A217" t="s">
        <v>6</v>
      </c>
      <c r="B217" t="s">
        <v>41</v>
      </c>
      <c r="C217" t="s">
        <v>11</v>
      </c>
      <c r="D217" t="s">
        <v>27</v>
      </c>
      <c r="E217" s="1">
        <v>1907</v>
      </c>
      <c r="F217" s="1">
        <v>350</v>
      </c>
      <c r="G217" s="1">
        <v>667450</v>
      </c>
      <c r="H217" s="1">
        <v>640752</v>
      </c>
      <c r="I217" s="1">
        <v>144932</v>
      </c>
      <c r="J217" t="s">
        <v>21</v>
      </c>
      <c r="K217">
        <v>2019</v>
      </c>
    </row>
    <row r="218" spans="1:11" hidden="1" x14ac:dyDescent="0.3">
      <c r="A218" t="s">
        <v>18</v>
      </c>
      <c r="B218" t="s">
        <v>42</v>
      </c>
      <c r="C218" t="s">
        <v>11</v>
      </c>
      <c r="D218" t="s">
        <v>27</v>
      </c>
      <c r="E218" s="1">
        <v>671</v>
      </c>
      <c r="F218" s="1">
        <v>15</v>
      </c>
      <c r="G218" s="1">
        <v>10065</v>
      </c>
      <c r="H218" s="1">
        <v>9662.4</v>
      </c>
      <c r="I218" s="1">
        <v>2952.3999999999996</v>
      </c>
      <c r="J218" t="s">
        <v>10</v>
      </c>
      <c r="K218">
        <v>2018</v>
      </c>
    </row>
    <row r="219" spans="1:11" hidden="1" x14ac:dyDescent="0.3">
      <c r="A219" t="s">
        <v>6</v>
      </c>
      <c r="B219" t="s">
        <v>40</v>
      </c>
      <c r="C219" t="s">
        <v>11</v>
      </c>
      <c r="D219" t="s">
        <v>27</v>
      </c>
      <c r="E219" s="1">
        <v>1778</v>
      </c>
      <c r="F219" s="1">
        <v>350</v>
      </c>
      <c r="G219" s="1">
        <v>622300</v>
      </c>
      <c r="H219" s="1">
        <v>597408</v>
      </c>
      <c r="I219" s="1">
        <v>135128</v>
      </c>
      <c r="J219" t="s">
        <v>15</v>
      </c>
      <c r="K219">
        <v>2018</v>
      </c>
    </row>
    <row r="220" spans="1:11" hidden="1" x14ac:dyDescent="0.3">
      <c r="A220" t="s">
        <v>6</v>
      </c>
      <c r="B220" t="s">
        <v>41</v>
      </c>
      <c r="C220" t="s">
        <v>8</v>
      </c>
      <c r="D220" t="s">
        <v>26</v>
      </c>
      <c r="E220" s="1">
        <v>1159</v>
      </c>
      <c r="F220" s="1">
        <v>7</v>
      </c>
      <c r="G220" s="1">
        <v>8113</v>
      </c>
      <c r="H220" s="1">
        <v>7707.35</v>
      </c>
      <c r="I220" s="1">
        <v>1912.3500000000004</v>
      </c>
      <c r="J220" t="s">
        <v>10</v>
      </c>
      <c r="K220">
        <v>2018</v>
      </c>
    </row>
    <row r="221" spans="1:11" hidden="1" x14ac:dyDescent="0.3">
      <c r="A221" t="s">
        <v>6</v>
      </c>
      <c r="B221" t="s">
        <v>41</v>
      </c>
      <c r="C221" t="s">
        <v>5</v>
      </c>
      <c r="D221" t="s">
        <v>26</v>
      </c>
      <c r="E221" s="1">
        <v>1372</v>
      </c>
      <c r="F221" s="1">
        <v>7</v>
      </c>
      <c r="G221" s="1">
        <v>9604</v>
      </c>
      <c r="H221" s="1">
        <v>9123.7999999999993</v>
      </c>
      <c r="I221" s="1">
        <v>2263.7999999999993</v>
      </c>
      <c r="J221" t="s">
        <v>24</v>
      </c>
      <c r="K221">
        <v>2019</v>
      </c>
    </row>
    <row r="222" spans="1:11" hidden="1" x14ac:dyDescent="0.3">
      <c r="A222" t="s">
        <v>6</v>
      </c>
      <c r="B222" t="s">
        <v>40</v>
      </c>
      <c r="C222" t="s">
        <v>5</v>
      </c>
      <c r="D222" t="s">
        <v>26</v>
      </c>
      <c r="E222" s="1">
        <v>2349</v>
      </c>
      <c r="F222" s="1">
        <v>7</v>
      </c>
      <c r="G222" s="1">
        <v>16443</v>
      </c>
      <c r="H222" s="1">
        <v>15620.85</v>
      </c>
      <c r="I222" s="1">
        <v>3875.8500000000004</v>
      </c>
      <c r="J222" t="s">
        <v>21</v>
      </c>
      <c r="K222">
        <v>2018</v>
      </c>
    </row>
    <row r="223" spans="1:11" hidden="1" x14ac:dyDescent="0.3">
      <c r="A223" t="s">
        <v>6</v>
      </c>
      <c r="B223" t="s">
        <v>9</v>
      </c>
      <c r="C223" t="s">
        <v>5</v>
      </c>
      <c r="D223" t="s">
        <v>26</v>
      </c>
      <c r="E223" s="1">
        <v>2689</v>
      </c>
      <c r="F223" s="1">
        <v>7</v>
      </c>
      <c r="G223" s="1">
        <v>18823</v>
      </c>
      <c r="H223" s="1">
        <v>17881.849999999999</v>
      </c>
      <c r="I223" s="1">
        <v>4436.8499999999985</v>
      </c>
      <c r="J223" t="s">
        <v>10</v>
      </c>
      <c r="K223">
        <v>2019</v>
      </c>
    </row>
    <row r="224" spans="1:11" x14ac:dyDescent="0.3">
      <c r="A224" t="s">
        <v>3</v>
      </c>
      <c r="B224" t="s">
        <v>40</v>
      </c>
      <c r="C224" t="s">
        <v>5</v>
      </c>
      <c r="D224" t="s">
        <v>26</v>
      </c>
      <c r="E224" s="1">
        <v>2431</v>
      </c>
      <c r="F224" s="1">
        <v>12</v>
      </c>
      <c r="G224" s="1">
        <v>29172</v>
      </c>
      <c r="H224" s="1">
        <v>27713.4</v>
      </c>
      <c r="I224" s="1">
        <v>20420.400000000001</v>
      </c>
      <c r="J224" t="s">
        <v>15</v>
      </c>
      <c r="K224">
        <v>2019</v>
      </c>
    </row>
    <row r="225" spans="1:11" x14ac:dyDescent="0.3">
      <c r="A225" t="s">
        <v>3</v>
      </c>
      <c r="B225" t="s">
        <v>40</v>
      </c>
      <c r="C225" t="s">
        <v>20</v>
      </c>
      <c r="D225" t="s">
        <v>26</v>
      </c>
      <c r="E225" s="1">
        <v>2431</v>
      </c>
      <c r="F225" s="1">
        <v>12</v>
      </c>
      <c r="G225" s="1">
        <v>29172</v>
      </c>
      <c r="H225" s="1">
        <v>27713.4</v>
      </c>
      <c r="I225" s="1">
        <v>20420.400000000001</v>
      </c>
      <c r="J225" t="s">
        <v>15</v>
      </c>
      <c r="K225">
        <v>2019</v>
      </c>
    </row>
    <row r="226" spans="1:11" hidden="1" x14ac:dyDescent="0.3">
      <c r="A226" t="s">
        <v>6</v>
      </c>
      <c r="B226" t="s">
        <v>9</v>
      </c>
      <c r="C226" t="s">
        <v>2</v>
      </c>
      <c r="D226" t="s">
        <v>26</v>
      </c>
      <c r="E226" s="1">
        <v>2689</v>
      </c>
      <c r="F226" s="1">
        <v>7</v>
      </c>
      <c r="G226" s="1">
        <v>18823</v>
      </c>
      <c r="H226" s="1">
        <v>17881.849999999999</v>
      </c>
      <c r="I226" s="1">
        <v>4436.8499999999985</v>
      </c>
      <c r="J226" t="s">
        <v>10</v>
      </c>
      <c r="K226">
        <v>2019</v>
      </c>
    </row>
    <row r="227" spans="1:11" hidden="1" x14ac:dyDescent="0.3">
      <c r="A227" t="s">
        <v>6</v>
      </c>
      <c r="B227" t="s">
        <v>9</v>
      </c>
      <c r="C227" t="s">
        <v>11</v>
      </c>
      <c r="D227" t="s">
        <v>26</v>
      </c>
      <c r="E227" s="1">
        <v>1683</v>
      </c>
      <c r="F227" s="1">
        <v>7</v>
      </c>
      <c r="G227" s="1">
        <v>11781</v>
      </c>
      <c r="H227" s="1">
        <v>11191.95</v>
      </c>
      <c r="I227" s="1">
        <v>2776.9500000000007</v>
      </c>
      <c r="J227" t="s">
        <v>19</v>
      </c>
      <c r="K227">
        <v>2019</v>
      </c>
    </row>
    <row r="228" spans="1:11" hidden="1" x14ac:dyDescent="0.3">
      <c r="A228" t="s">
        <v>3</v>
      </c>
      <c r="B228" t="s">
        <v>9</v>
      </c>
      <c r="C228" t="s">
        <v>11</v>
      </c>
      <c r="D228" t="s">
        <v>26</v>
      </c>
      <c r="E228" s="1">
        <v>1123</v>
      </c>
      <c r="F228" s="1">
        <v>12</v>
      </c>
      <c r="G228" s="1">
        <v>13476</v>
      </c>
      <c r="H228" s="1">
        <v>12802.2</v>
      </c>
      <c r="I228" s="1">
        <v>9433.2000000000007</v>
      </c>
      <c r="J228" t="s">
        <v>22</v>
      </c>
      <c r="K228">
        <v>2019</v>
      </c>
    </row>
    <row r="229" spans="1:11" hidden="1" x14ac:dyDescent="0.3">
      <c r="A229" t="s">
        <v>6</v>
      </c>
      <c r="B229" t="s">
        <v>41</v>
      </c>
      <c r="C229" t="s">
        <v>11</v>
      </c>
      <c r="D229" t="s">
        <v>26</v>
      </c>
      <c r="E229" s="1">
        <v>1159</v>
      </c>
      <c r="F229" s="1">
        <v>7</v>
      </c>
      <c r="G229" s="1">
        <v>8113</v>
      </c>
      <c r="H229" s="1">
        <v>7707.35</v>
      </c>
      <c r="I229" s="1">
        <v>1912.3500000000004</v>
      </c>
      <c r="J229" t="s">
        <v>10</v>
      </c>
      <c r="K229">
        <v>2018</v>
      </c>
    </row>
    <row r="230" spans="1:11" hidden="1" x14ac:dyDescent="0.3">
      <c r="A230" t="s">
        <v>3</v>
      </c>
      <c r="B230" t="s">
        <v>14</v>
      </c>
      <c r="C230" t="s">
        <v>23</v>
      </c>
      <c r="D230" t="s">
        <v>26</v>
      </c>
      <c r="E230" s="1">
        <v>1865</v>
      </c>
      <c r="F230" s="1">
        <v>12</v>
      </c>
      <c r="G230" s="1">
        <v>22380</v>
      </c>
      <c r="H230" s="1">
        <v>21261</v>
      </c>
      <c r="I230" s="1">
        <v>15666</v>
      </c>
      <c r="J230" t="s">
        <v>7</v>
      </c>
      <c r="K230">
        <v>2019</v>
      </c>
    </row>
    <row r="231" spans="1:11" hidden="1" x14ac:dyDescent="0.3">
      <c r="A231" t="s">
        <v>3</v>
      </c>
      <c r="B231" t="s">
        <v>41</v>
      </c>
      <c r="C231" t="s">
        <v>23</v>
      </c>
      <c r="D231" t="s">
        <v>26</v>
      </c>
      <c r="E231" s="1">
        <v>1116</v>
      </c>
      <c r="F231" s="1">
        <v>12</v>
      </c>
      <c r="G231" s="1">
        <v>13392</v>
      </c>
      <c r="H231" s="1">
        <v>12722.4</v>
      </c>
      <c r="I231" s="1">
        <v>9374.4</v>
      </c>
      <c r="J231" t="s">
        <v>7</v>
      </c>
      <c r="K231">
        <v>2019</v>
      </c>
    </row>
    <row r="232" spans="1:11" hidden="1" x14ac:dyDescent="0.3">
      <c r="A232" t="s">
        <v>6</v>
      </c>
      <c r="B232" t="s">
        <v>14</v>
      </c>
      <c r="C232" t="s">
        <v>23</v>
      </c>
      <c r="D232" t="s">
        <v>26</v>
      </c>
      <c r="E232" s="1">
        <v>1563</v>
      </c>
      <c r="F232" s="1">
        <v>20</v>
      </c>
      <c r="G232" s="1">
        <v>31260</v>
      </c>
      <c r="H232" s="1">
        <v>29697</v>
      </c>
      <c r="I232" s="1">
        <v>14067</v>
      </c>
      <c r="J232" t="s">
        <v>0</v>
      </c>
      <c r="K232">
        <v>2019</v>
      </c>
    </row>
    <row r="233" spans="1:11" hidden="1" x14ac:dyDescent="0.3">
      <c r="A233" t="s">
        <v>12</v>
      </c>
      <c r="B233" t="s">
        <v>42</v>
      </c>
      <c r="C233" t="s">
        <v>23</v>
      </c>
      <c r="D233" t="s">
        <v>26</v>
      </c>
      <c r="E233" s="1">
        <v>991</v>
      </c>
      <c r="F233" s="1">
        <v>300</v>
      </c>
      <c r="G233" s="1">
        <v>297300</v>
      </c>
      <c r="H233" s="1">
        <v>282435</v>
      </c>
      <c r="I233" s="1">
        <v>34685</v>
      </c>
      <c r="J233" t="s">
        <v>25</v>
      </c>
      <c r="K233">
        <v>2019</v>
      </c>
    </row>
    <row r="234" spans="1:11" hidden="1" x14ac:dyDescent="0.3">
      <c r="A234" t="s">
        <v>6</v>
      </c>
      <c r="B234" t="s">
        <v>41</v>
      </c>
      <c r="C234" t="s">
        <v>23</v>
      </c>
      <c r="D234" t="s">
        <v>26</v>
      </c>
      <c r="E234" s="1">
        <v>1016</v>
      </c>
      <c r="F234" s="1">
        <v>7</v>
      </c>
      <c r="G234" s="1">
        <v>7112</v>
      </c>
      <c r="H234" s="1">
        <v>6756.4</v>
      </c>
      <c r="I234" s="1">
        <v>1676.3999999999996</v>
      </c>
      <c r="J234" t="s">
        <v>16</v>
      </c>
      <c r="K234">
        <v>2018</v>
      </c>
    </row>
    <row r="235" spans="1:11" hidden="1" x14ac:dyDescent="0.3">
      <c r="A235" t="s">
        <v>18</v>
      </c>
      <c r="B235" t="s">
        <v>9</v>
      </c>
      <c r="C235" t="s">
        <v>23</v>
      </c>
      <c r="D235" t="s">
        <v>26</v>
      </c>
      <c r="E235" s="1">
        <v>2791</v>
      </c>
      <c r="F235" s="1">
        <v>15</v>
      </c>
      <c r="G235" s="1">
        <v>41865</v>
      </c>
      <c r="H235" s="1">
        <v>39771.75</v>
      </c>
      <c r="I235" s="1">
        <v>11861.75</v>
      </c>
      <c r="J235" t="s">
        <v>16</v>
      </c>
      <c r="K235">
        <v>2019</v>
      </c>
    </row>
    <row r="236" spans="1:11" hidden="1" x14ac:dyDescent="0.3">
      <c r="A236" t="s">
        <v>6</v>
      </c>
      <c r="B236" t="s">
        <v>42</v>
      </c>
      <c r="C236" t="s">
        <v>23</v>
      </c>
      <c r="D236" t="s">
        <v>26</v>
      </c>
      <c r="E236" s="1">
        <v>570</v>
      </c>
      <c r="F236" s="1">
        <v>7</v>
      </c>
      <c r="G236" s="1">
        <v>3990</v>
      </c>
      <c r="H236" s="1">
        <v>3790.5</v>
      </c>
      <c r="I236" s="1">
        <v>940.5</v>
      </c>
      <c r="J236" t="s">
        <v>15</v>
      </c>
      <c r="K236">
        <v>2019</v>
      </c>
    </row>
    <row r="237" spans="1:11" hidden="1" x14ac:dyDescent="0.3">
      <c r="A237" t="s">
        <v>6</v>
      </c>
      <c r="B237" t="s">
        <v>14</v>
      </c>
      <c r="C237" t="s">
        <v>23</v>
      </c>
      <c r="D237" t="s">
        <v>26</v>
      </c>
      <c r="E237" s="1">
        <v>2487</v>
      </c>
      <c r="F237" s="1">
        <v>7</v>
      </c>
      <c r="G237" s="1">
        <v>17409</v>
      </c>
      <c r="H237" s="1">
        <v>16538.55</v>
      </c>
      <c r="I237" s="1">
        <v>4103.5499999999993</v>
      </c>
      <c r="J237" t="s">
        <v>15</v>
      </c>
      <c r="K237">
        <v>2019</v>
      </c>
    </row>
    <row r="238" spans="1:11" hidden="1" x14ac:dyDescent="0.3">
      <c r="A238" t="s">
        <v>6</v>
      </c>
      <c r="B238" t="s">
        <v>14</v>
      </c>
      <c r="C238" t="s">
        <v>8</v>
      </c>
      <c r="D238" t="s">
        <v>26</v>
      </c>
      <c r="E238" s="1">
        <v>1384.5</v>
      </c>
      <c r="F238" s="1">
        <v>350</v>
      </c>
      <c r="G238" s="1">
        <v>484575</v>
      </c>
      <c r="H238" s="1">
        <v>460346.25</v>
      </c>
      <c r="I238" s="1">
        <v>100376.25</v>
      </c>
      <c r="J238" t="s">
        <v>24</v>
      </c>
      <c r="K238">
        <v>2019</v>
      </c>
    </row>
    <row r="239" spans="1:11" hidden="1" x14ac:dyDescent="0.3">
      <c r="A239" t="s">
        <v>17</v>
      </c>
      <c r="B239" t="s">
        <v>42</v>
      </c>
      <c r="C239" t="s">
        <v>8</v>
      </c>
      <c r="D239" t="s">
        <v>26</v>
      </c>
      <c r="E239" s="1">
        <v>3627</v>
      </c>
      <c r="F239" s="1">
        <v>125</v>
      </c>
      <c r="G239" s="1">
        <v>453375</v>
      </c>
      <c r="H239" s="1">
        <v>430706.25</v>
      </c>
      <c r="I239" s="1">
        <v>-4533.75</v>
      </c>
      <c r="J239" t="s">
        <v>19</v>
      </c>
      <c r="K239">
        <v>2019</v>
      </c>
    </row>
    <row r="240" spans="1:11" hidden="1" x14ac:dyDescent="0.3">
      <c r="A240" t="s">
        <v>6</v>
      </c>
      <c r="B240" t="s">
        <v>9</v>
      </c>
      <c r="C240" t="s">
        <v>8</v>
      </c>
      <c r="D240" t="s">
        <v>26</v>
      </c>
      <c r="E240" s="1">
        <v>720</v>
      </c>
      <c r="F240" s="1">
        <v>350</v>
      </c>
      <c r="G240" s="1">
        <v>252000</v>
      </c>
      <c r="H240" s="1">
        <v>239400</v>
      </c>
      <c r="I240" s="1">
        <v>52200</v>
      </c>
      <c r="J240" t="s">
        <v>21</v>
      </c>
      <c r="K240">
        <v>2018</v>
      </c>
    </row>
    <row r="241" spans="1:11" hidden="1" x14ac:dyDescent="0.3">
      <c r="A241" t="s">
        <v>3</v>
      </c>
      <c r="B241" t="s">
        <v>41</v>
      </c>
      <c r="C241" t="s">
        <v>8</v>
      </c>
      <c r="D241" t="s">
        <v>26</v>
      </c>
      <c r="E241" s="1">
        <v>2342</v>
      </c>
      <c r="F241" s="1">
        <v>12</v>
      </c>
      <c r="G241" s="1">
        <v>28104</v>
      </c>
      <c r="H241" s="1">
        <v>26698.799999999999</v>
      </c>
      <c r="I241" s="1">
        <v>19672.8</v>
      </c>
      <c r="J241" t="s">
        <v>16</v>
      </c>
      <c r="K241">
        <v>2019</v>
      </c>
    </row>
    <row r="242" spans="1:11" hidden="1" x14ac:dyDescent="0.3">
      <c r="A242" t="s">
        <v>12</v>
      </c>
      <c r="B242" t="s">
        <v>9</v>
      </c>
      <c r="C242" t="s">
        <v>8</v>
      </c>
      <c r="D242" t="s">
        <v>26</v>
      </c>
      <c r="E242" s="1">
        <v>1100</v>
      </c>
      <c r="F242" s="1">
        <v>300</v>
      </c>
      <c r="G242" s="1">
        <v>330000</v>
      </c>
      <c r="H242" s="1">
        <v>313500</v>
      </c>
      <c r="I242" s="1">
        <v>38500</v>
      </c>
      <c r="J242" t="s">
        <v>15</v>
      </c>
      <c r="K242">
        <v>2018</v>
      </c>
    </row>
    <row r="243" spans="1:11" hidden="1" x14ac:dyDescent="0.3">
      <c r="A243" t="s">
        <v>6</v>
      </c>
      <c r="B243" t="s">
        <v>14</v>
      </c>
      <c r="C243" t="s">
        <v>5</v>
      </c>
      <c r="D243" t="s">
        <v>26</v>
      </c>
      <c r="E243" s="1">
        <v>1303</v>
      </c>
      <c r="F243" s="1">
        <v>20</v>
      </c>
      <c r="G243" s="1">
        <v>26060</v>
      </c>
      <c r="H243" s="1">
        <v>24757</v>
      </c>
      <c r="I243" s="1">
        <v>11727</v>
      </c>
      <c r="J243" t="s">
        <v>7</v>
      </c>
      <c r="K243">
        <v>2019</v>
      </c>
    </row>
    <row r="244" spans="1:11" hidden="1" x14ac:dyDescent="0.3">
      <c r="A244" t="s">
        <v>17</v>
      </c>
      <c r="B244" t="s">
        <v>42</v>
      </c>
      <c r="C244" t="s">
        <v>5</v>
      </c>
      <c r="D244" t="s">
        <v>26</v>
      </c>
      <c r="E244" s="1">
        <v>2992</v>
      </c>
      <c r="F244" s="1">
        <v>125</v>
      </c>
      <c r="G244" s="1">
        <v>374000</v>
      </c>
      <c r="H244" s="1">
        <v>355300</v>
      </c>
      <c r="I244" s="1">
        <v>-3740</v>
      </c>
      <c r="J244" t="s">
        <v>13</v>
      </c>
      <c r="K244">
        <v>2019</v>
      </c>
    </row>
    <row r="245" spans="1:11" hidden="1" x14ac:dyDescent="0.3">
      <c r="A245" t="s">
        <v>17</v>
      </c>
      <c r="B245" t="s">
        <v>14</v>
      </c>
      <c r="C245" t="s">
        <v>5</v>
      </c>
      <c r="D245" t="s">
        <v>26</v>
      </c>
      <c r="E245" s="1">
        <v>2385</v>
      </c>
      <c r="F245" s="1">
        <v>125</v>
      </c>
      <c r="G245" s="1">
        <v>298125</v>
      </c>
      <c r="H245" s="1">
        <v>283218.75</v>
      </c>
      <c r="I245" s="1">
        <v>-2981.25</v>
      </c>
      <c r="J245" t="s">
        <v>13</v>
      </c>
      <c r="K245">
        <v>2019</v>
      </c>
    </row>
    <row r="246" spans="1:11" hidden="1" x14ac:dyDescent="0.3">
      <c r="A246" t="s">
        <v>12</v>
      </c>
      <c r="B246" t="s">
        <v>9</v>
      </c>
      <c r="C246" t="s">
        <v>5</v>
      </c>
      <c r="D246" t="s">
        <v>26</v>
      </c>
      <c r="E246" s="1">
        <v>1607</v>
      </c>
      <c r="F246" s="1">
        <v>300</v>
      </c>
      <c r="G246" s="1">
        <v>482100</v>
      </c>
      <c r="H246" s="1">
        <v>457995</v>
      </c>
      <c r="I246" s="1">
        <v>56245</v>
      </c>
      <c r="J246" t="s">
        <v>4</v>
      </c>
      <c r="K246">
        <v>2019</v>
      </c>
    </row>
    <row r="247" spans="1:11" hidden="1" x14ac:dyDescent="0.3">
      <c r="A247" t="s">
        <v>6</v>
      </c>
      <c r="B247" t="s">
        <v>42</v>
      </c>
      <c r="C247" t="s">
        <v>5</v>
      </c>
      <c r="D247" t="s">
        <v>26</v>
      </c>
      <c r="E247" s="1">
        <v>2327</v>
      </c>
      <c r="F247" s="1">
        <v>7</v>
      </c>
      <c r="G247" s="1">
        <v>16289</v>
      </c>
      <c r="H247" s="1">
        <v>15474.55</v>
      </c>
      <c r="I247" s="1">
        <v>3839.5499999999993</v>
      </c>
      <c r="J247" t="s">
        <v>0</v>
      </c>
      <c r="K247">
        <v>2019</v>
      </c>
    </row>
    <row r="248" spans="1:11" hidden="1" x14ac:dyDescent="0.3">
      <c r="A248" t="s">
        <v>12</v>
      </c>
      <c r="B248" t="s">
        <v>42</v>
      </c>
      <c r="C248" t="s">
        <v>5</v>
      </c>
      <c r="D248" t="s">
        <v>26</v>
      </c>
      <c r="E248" s="1">
        <v>991</v>
      </c>
      <c r="F248" s="1">
        <v>300</v>
      </c>
      <c r="G248" s="1">
        <v>297300</v>
      </c>
      <c r="H248" s="1">
        <v>282435</v>
      </c>
      <c r="I248" s="1">
        <v>34685</v>
      </c>
      <c r="J248" t="s">
        <v>25</v>
      </c>
      <c r="K248">
        <v>2019</v>
      </c>
    </row>
    <row r="249" spans="1:11" hidden="1" x14ac:dyDescent="0.3">
      <c r="A249" t="s">
        <v>6</v>
      </c>
      <c r="B249" t="s">
        <v>42</v>
      </c>
      <c r="C249" t="s">
        <v>5</v>
      </c>
      <c r="D249" t="s">
        <v>26</v>
      </c>
      <c r="E249" s="1">
        <v>602</v>
      </c>
      <c r="F249" s="1">
        <v>350</v>
      </c>
      <c r="G249" s="1">
        <v>210700</v>
      </c>
      <c r="H249" s="1">
        <v>200165</v>
      </c>
      <c r="I249" s="1">
        <v>43645</v>
      </c>
      <c r="J249" t="s">
        <v>25</v>
      </c>
      <c r="K249">
        <v>2019</v>
      </c>
    </row>
    <row r="250" spans="1:11" hidden="1" x14ac:dyDescent="0.3">
      <c r="A250" t="s">
        <v>18</v>
      </c>
      <c r="B250" t="s">
        <v>14</v>
      </c>
      <c r="C250" t="s">
        <v>5</v>
      </c>
      <c r="D250" t="s">
        <v>26</v>
      </c>
      <c r="E250" s="1">
        <v>2620</v>
      </c>
      <c r="F250" s="1">
        <v>15</v>
      </c>
      <c r="G250" s="1">
        <v>39300</v>
      </c>
      <c r="H250" s="1">
        <v>37335</v>
      </c>
      <c r="I250" s="1">
        <v>11135</v>
      </c>
      <c r="J250" t="s">
        <v>21</v>
      </c>
      <c r="K250">
        <v>2019</v>
      </c>
    </row>
    <row r="251" spans="1:11" hidden="1" x14ac:dyDescent="0.3">
      <c r="A251" t="s">
        <v>6</v>
      </c>
      <c r="B251" t="s">
        <v>40</v>
      </c>
      <c r="C251" t="s">
        <v>5</v>
      </c>
      <c r="D251" t="s">
        <v>26</v>
      </c>
      <c r="E251" s="1">
        <v>1228</v>
      </c>
      <c r="F251" s="1">
        <v>350</v>
      </c>
      <c r="G251" s="1">
        <v>429800</v>
      </c>
      <c r="H251" s="1">
        <v>408310</v>
      </c>
      <c r="I251" s="1">
        <v>89030</v>
      </c>
      <c r="J251" t="s">
        <v>10</v>
      </c>
      <c r="K251">
        <v>2018</v>
      </c>
    </row>
    <row r="252" spans="1:11" hidden="1" x14ac:dyDescent="0.3">
      <c r="A252" t="s">
        <v>6</v>
      </c>
      <c r="B252" t="s">
        <v>40</v>
      </c>
      <c r="C252" t="s">
        <v>5</v>
      </c>
      <c r="D252" t="s">
        <v>26</v>
      </c>
      <c r="E252" s="1">
        <v>1389</v>
      </c>
      <c r="F252" s="1">
        <v>20</v>
      </c>
      <c r="G252" s="1">
        <v>27780</v>
      </c>
      <c r="H252" s="1">
        <v>26391</v>
      </c>
      <c r="I252" s="1">
        <v>12501</v>
      </c>
      <c r="J252" t="s">
        <v>10</v>
      </c>
      <c r="K252">
        <v>2018</v>
      </c>
    </row>
    <row r="253" spans="1:11" hidden="1" x14ac:dyDescent="0.3">
      <c r="A253" t="s">
        <v>17</v>
      </c>
      <c r="B253" t="s">
        <v>42</v>
      </c>
      <c r="C253" t="s">
        <v>5</v>
      </c>
      <c r="D253" t="s">
        <v>26</v>
      </c>
      <c r="E253" s="1">
        <v>861</v>
      </c>
      <c r="F253" s="1">
        <v>125</v>
      </c>
      <c r="G253" s="1">
        <v>107625</v>
      </c>
      <c r="H253" s="1">
        <v>102243.75</v>
      </c>
      <c r="I253" s="1">
        <v>-1076.25</v>
      </c>
      <c r="J253" t="s">
        <v>10</v>
      </c>
      <c r="K253">
        <v>2019</v>
      </c>
    </row>
    <row r="254" spans="1:11" hidden="1" x14ac:dyDescent="0.3">
      <c r="A254" t="s">
        <v>17</v>
      </c>
      <c r="B254" t="s">
        <v>14</v>
      </c>
      <c r="C254" t="s">
        <v>5</v>
      </c>
      <c r="D254" t="s">
        <v>26</v>
      </c>
      <c r="E254" s="1">
        <v>704</v>
      </c>
      <c r="F254" s="1">
        <v>125</v>
      </c>
      <c r="G254" s="1">
        <v>88000</v>
      </c>
      <c r="H254" s="1">
        <v>83600</v>
      </c>
      <c r="I254" s="1">
        <v>-880</v>
      </c>
      <c r="J254" t="s">
        <v>10</v>
      </c>
      <c r="K254">
        <v>2018</v>
      </c>
    </row>
    <row r="255" spans="1:11" hidden="1" x14ac:dyDescent="0.3">
      <c r="A255" t="s">
        <v>6</v>
      </c>
      <c r="B255" t="s">
        <v>40</v>
      </c>
      <c r="C255" t="s">
        <v>5</v>
      </c>
      <c r="D255" t="s">
        <v>26</v>
      </c>
      <c r="E255" s="1">
        <v>1802</v>
      </c>
      <c r="F255" s="1">
        <v>20</v>
      </c>
      <c r="G255" s="1">
        <v>36040</v>
      </c>
      <c r="H255" s="1">
        <v>34238</v>
      </c>
      <c r="I255" s="1">
        <v>16218</v>
      </c>
      <c r="J255" t="s">
        <v>15</v>
      </c>
      <c r="K255">
        <v>2018</v>
      </c>
    </row>
    <row r="256" spans="1:11" hidden="1" x14ac:dyDescent="0.3">
      <c r="A256" t="s">
        <v>6</v>
      </c>
      <c r="B256" t="s">
        <v>42</v>
      </c>
      <c r="C256" t="s">
        <v>5</v>
      </c>
      <c r="D256" t="s">
        <v>26</v>
      </c>
      <c r="E256" s="1">
        <v>2663</v>
      </c>
      <c r="F256" s="1">
        <v>20</v>
      </c>
      <c r="G256" s="1">
        <v>53260</v>
      </c>
      <c r="H256" s="1">
        <v>50597</v>
      </c>
      <c r="I256" s="1">
        <v>23967</v>
      </c>
      <c r="J256" t="s">
        <v>15</v>
      </c>
      <c r="K256">
        <v>2019</v>
      </c>
    </row>
    <row r="257" spans="1:11" hidden="1" x14ac:dyDescent="0.3">
      <c r="A257" t="s">
        <v>6</v>
      </c>
      <c r="B257" t="s">
        <v>14</v>
      </c>
      <c r="C257" t="s">
        <v>5</v>
      </c>
      <c r="D257" t="s">
        <v>26</v>
      </c>
      <c r="E257" s="1">
        <v>2136</v>
      </c>
      <c r="F257" s="1">
        <v>7</v>
      </c>
      <c r="G257" s="1">
        <v>14952</v>
      </c>
      <c r="H257" s="1">
        <v>14204.4</v>
      </c>
      <c r="I257" s="1">
        <v>3524.3999999999996</v>
      </c>
      <c r="J257" t="s">
        <v>15</v>
      </c>
      <c r="K257">
        <v>2018</v>
      </c>
    </row>
    <row r="258" spans="1:11" hidden="1" x14ac:dyDescent="0.3">
      <c r="A258" t="s">
        <v>18</v>
      </c>
      <c r="B258" t="s">
        <v>41</v>
      </c>
      <c r="C258" t="s">
        <v>5</v>
      </c>
      <c r="D258" t="s">
        <v>26</v>
      </c>
      <c r="E258" s="1">
        <v>2116</v>
      </c>
      <c r="F258" s="1">
        <v>15</v>
      </c>
      <c r="G258" s="1">
        <v>31740</v>
      </c>
      <c r="H258" s="1">
        <v>30153</v>
      </c>
      <c r="I258" s="1">
        <v>8993</v>
      </c>
      <c r="J258" t="s">
        <v>15</v>
      </c>
      <c r="K258">
        <v>2018</v>
      </c>
    </row>
    <row r="259" spans="1:11" hidden="1" x14ac:dyDescent="0.3">
      <c r="A259" t="s">
        <v>18</v>
      </c>
      <c r="B259" t="s">
        <v>42</v>
      </c>
      <c r="C259" t="s">
        <v>20</v>
      </c>
      <c r="D259" t="s">
        <v>26</v>
      </c>
      <c r="E259" s="1">
        <v>555</v>
      </c>
      <c r="F259" s="1">
        <v>15</v>
      </c>
      <c r="G259" s="1">
        <v>8325</v>
      </c>
      <c r="H259" s="1">
        <v>7908.75</v>
      </c>
      <c r="I259" s="1">
        <v>2358.75</v>
      </c>
      <c r="J259" t="s">
        <v>24</v>
      </c>
      <c r="K259">
        <v>2019</v>
      </c>
    </row>
    <row r="260" spans="1:11" hidden="1" x14ac:dyDescent="0.3">
      <c r="A260" t="s">
        <v>18</v>
      </c>
      <c r="B260" t="s">
        <v>9</v>
      </c>
      <c r="C260" t="s">
        <v>20</v>
      </c>
      <c r="D260" t="s">
        <v>26</v>
      </c>
      <c r="E260" s="1">
        <v>2861</v>
      </c>
      <c r="F260" s="1">
        <v>15</v>
      </c>
      <c r="G260" s="1">
        <v>42915</v>
      </c>
      <c r="H260" s="1">
        <v>40769.25</v>
      </c>
      <c r="I260" s="1">
        <v>12159.25</v>
      </c>
      <c r="J260" t="s">
        <v>24</v>
      </c>
      <c r="K260">
        <v>2019</v>
      </c>
    </row>
    <row r="261" spans="1:11" hidden="1" x14ac:dyDescent="0.3">
      <c r="A261" t="s">
        <v>17</v>
      </c>
      <c r="B261" t="s">
        <v>41</v>
      </c>
      <c r="C261" t="s">
        <v>20</v>
      </c>
      <c r="D261" t="s">
        <v>26</v>
      </c>
      <c r="E261" s="1">
        <v>807</v>
      </c>
      <c r="F261" s="1">
        <v>125</v>
      </c>
      <c r="G261" s="1">
        <v>100875</v>
      </c>
      <c r="H261" s="1">
        <v>95831.25</v>
      </c>
      <c r="I261" s="1">
        <v>-1008.75</v>
      </c>
      <c r="J261" t="s">
        <v>7</v>
      </c>
      <c r="K261">
        <v>2019</v>
      </c>
    </row>
    <row r="262" spans="1:11" hidden="1" x14ac:dyDescent="0.3">
      <c r="A262" t="s">
        <v>6</v>
      </c>
      <c r="B262" t="s">
        <v>42</v>
      </c>
      <c r="C262" t="s">
        <v>20</v>
      </c>
      <c r="D262" t="s">
        <v>26</v>
      </c>
      <c r="E262" s="1">
        <v>602</v>
      </c>
      <c r="F262" s="1">
        <v>350</v>
      </c>
      <c r="G262" s="1">
        <v>210700</v>
      </c>
      <c r="H262" s="1">
        <v>200165</v>
      </c>
      <c r="I262" s="1">
        <v>43645</v>
      </c>
      <c r="J262" t="s">
        <v>25</v>
      </c>
      <c r="K262">
        <v>2019</v>
      </c>
    </row>
    <row r="263" spans="1:11" hidden="1" x14ac:dyDescent="0.3">
      <c r="A263" t="s">
        <v>6</v>
      </c>
      <c r="B263" t="s">
        <v>42</v>
      </c>
      <c r="C263" t="s">
        <v>20</v>
      </c>
      <c r="D263" t="s">
        <v>26</v>
      </c>
      <c r="E263" s="1">
        <v>2832</v>
      </c>
      <c r="F263" s="1">
        <v>20</v>
      </c>
      <c r="G263" s="1">
        <v>56640</v>
      </c>
      <c r="H263" s="1">
        <v>53808</v>
      </c>
      <c r="I263" s="1">
        <v>25488</v>
      </c>
      <c r="J263" t="s">
        <v>22</v>
      </c>
      <c r="K263">
        <v>2019</v>
      </c>
    </row>
    <row r="264" spans="1:11" hidden="1" x14ac:dyDescent="0.3">
      <c r="A264" t="s">
        <v>6</v>
      </c>
      <c r="B264" t="s">
        <v>14</v>
      </c>
      <c r="C264" t="s">
        <v>20</v>
      </c>
      <c r="D264" t="s">
        <v>26</v>
      </c>
      <c r="E264" s="1">
        <v>1579</v>
      </c>
      <c r="F264" s="1">
        <v>20</v>
      </c>
      <c r="G264" s="1">
        <v>31580</v>
      </c>
      <c r="H264" s="1">
        <v>30001</v>
      </c>
      <c r="I264" s="1">
        <v>14211</v>
      </c>
      <c r="J264" t="s">
        <v>22</v>
      </c>
      <c r="K264">
        <v>2019</v>
      </c>
    </row>
    <row r="265" spans="1:11" hidden="1" x14ac:dyDescent="0.3">
      <c r="A265" t="s">
        <v>17</v>
      </c>
      <c r="B265" t="s">
        <v>42</v>
      </c>
      <c r="C265" t="s">
        <v>20</v>
      </c>
      <c r="D265" t="s">
        <v>26</v>
      </c>
      <c r="E265" s="1">
        <v>861</v>
      </c>
      <c r="F265" s="1">
        <v>125</v>
      </c>
      <c r="G265" s="1">
        <v>107625</v>
      </c>
      <c r="H265" s="1">
        <v>102243.75</v>
      </c>
      <c r="I265" s="1">
        <v>-1076.25</v>
      </c>
      <c r="J265" t="s">
        <v>10</v>
      </c>
      <c r="K265">
        <v>2019</v>
      </c>
    </row>
    <row r="266" spans="1:11" hidden="1" x14ac:dyDescent="0.3">
      <c r="A266" t="s">
        <v>17</v>
      </c>
      <c r="B266" t="s">
        <v>14</v>
      </c>
      <c r="C266" t="s">
        <v>20</v>
      </c>
      <c r="D266" t="s">
        <v>26</v>
      </c>
      <c r="E266" s="1">
        <v>704</v>
      </c>
      <c r="F266" s="1">
        <v>125</v>
      </c>
      <c r="G266" s="1">
        <v>88000</v>
      </c>
      <c r="H266" s="1">
        <v>83600</v>
      </c>
      <c r="I266" s="1">
        <v>-880</v>
      </c>
      <c r="J266" t="s">
        <v>10</v>
      </c>
      <c r="K266">
        <v>2018</v>
      </c>
    </row>
    <row r="267" spans="1:11" hidden="1" x14ac:dyDescent="0.3">
      <c r="A267" t="s">
        <v>6</v>
      </c>
      <c r="B267" t="s">
        <v>14</v>
      </c>
      <c r="C267" t="s">
        <v>20</v>
      </c>
      <c r="D267" t="s">
        <v>26</v>
      </c>
      <c r="E267" s="1">
        <v>1033</v>
      </c>
      <c r="F267" s="1">
        <v>20</v>
      </c>
      <c r="G267" s="1">
        <v>20660</v>
      </c>
      <c r="H267" s="1">
        <v>19627</v>
      </c>
      <c r="I267" s="1">
        <v>9297</v>
      </c>
      <c r="J267" t="s">
        <v>15</v>
      </c>
      <c r="K267">
        <v>2018</v>
      </c>
    </row>
    <row r="268" spans="1:11" hidden="1" x14ac:dyDescent="0.3">
      <c r="A268" t="s">
        <v>12</v>
      </c>
      <c r="B268" t="s">
        <v>41</v>
      </c>
      <c r="C268" t="s">
        <v>20</v>
      </c>
      <c r="D268" t="s">
        <v>26</v>
      </c>
      <c r="E268" s="1">
        <v>1250</v>
      </c>
      <c r="F268" s="1">
        <v>300</v>
      </c>
      <c r="G268" s="1">
        <v>375000</v>
      </c>
      <c r="H268" s="1">
        <v>356250</v>
      </c>
      <c r="I268" s="1">
        <v>43750</v>
      </c>
      <c r="J268" t="s">
        <v>15</v>
      </c>
      <c r="K268">
        <v>2019</v>
      </c>
    </row>
    <row r="269" spans="1:11" hidden="1" x14ac:dyDescent="0.3">
      <c r="A269" t="s">
        <v>6</v>
      </c>
      <c r="B269" t="s">
        <v>40</v>
      </c>
      <c r="C269" t="s">
        <v>2</v>
      </c>
      <c r="D269" t="s">
        <v>26</v>
      </c>
      <c r="E269" s="1">
        <v>1389</v>
      </c>
      <c r="F269" s="1">
        <v>20</v>
      </c>
      <c r="G269" s="1">
        <v>27780</v>
      </c>
      <c r="H269" s="1">
        <v>26391</v>
      </c>
      <c r="I269" s="1">
        <v>12501</v>
      </c>
      <c r="J269" t="s">
        <v>10</v>
      </c>
      <c r="K269">
        <v>2018</v>
      </c>
    </row>
    <row r="270" spans="1:11" hidden="1" x14ac:dyDescent="0.3">
      <c r="A270" t="s">
        <v>6</v>
      </c>
      <c r="B270" t="s">
        <v>42</v>
      </c>
      <c r="C270" t="s">
        <v>2</v>
      </c>
      <c r="D270" t="s">
        <v>26</v>
      </c>
      <c r="E270" s="1">
        <v>1265</v>
      </c>
      <c r="F270" s="1">
        <v>20</v>
      </c>
      <c r="G270" s="1">
        <v>25300</v>
      </c>
      <c r="H270" s="1">
        <v>24035</v>
      </c>
      <c r="I270" s="1">
        <v>11385</v>
      </c>
      <c r="J270" t="s">
        <v>16</v>
      </c>
      <c r="K270">
        <v>2018</v>
      </c>
    </row>
    <row r="271" spans="1:11" hidden="1" x14ac:dyDescent="0.3">
      <c r="A271" t="s">
        <v>6</v>
      </c>
      <c r="B271" t="s">
        <v>41</v>
      </c>
      <c r="C271" t="s">
        <v>2</v>
      </c>
      <c r="D271" t="s">
        <v>26</v>
      </c>
      <c r="E271" s="1">
        <v>2297</v>
      </c>
      <c r="F271" s="1">
        <v>20</v>
      </c>
      <c r="G271" s="1">
        <v>45940</v>
      </c>
      <c r="H271" s="1">
        <v>43643</v>
      </c>
      <c r="I271" s="1">
        <v>20673</v>
      </c>
      <c r="J271" t="s">
        <v>16</v>
      </c>
      <c r="K271">
        <v>2018</v>
      </c>
    </row>
    <row r="272" spans="1:11" hidden="1" x14ac:dyDescent="0.3">
      <c r="A272" t="s">
        <v>6</v>
      </c>
      <c r="B272" t="s">
        <v>42</v>
      </c>
      <c r="C272" t="s">
        <v>2</v>
      </c>
      <c r="D272" t="s">
        <v>26</v>
      </c>
      <c r="E272" s="1">
        <v>2663</v>
      </c>
      <c r="F272" s="1">
        <v>20</v>
      </c>
      <c r="G272" s="1">
        <v>53260</v>
      </c>
      <c r="H272" s="1">
        <v>50597</v>
      </c>
      <c r="I272" s="1">
        <v>23967</v>
      </c>
      <c r="J272" t="s">
        <v>15</v>
      </c>
      <c r="K272">
        <v>2019</v>
      </c>
    </row>
    <row r="273" spans="1:11" hidden="1" x14ac:dyDescent="0.3">
      <c r="A273" t="s">
        <v>6</v>
      </c>
      <c r="B273" t="s">
        <v>42</v>
      </c>
      <c r="C273" t="s">
        <v>2</v>
      </c>
      <c r="D273" t="s">
        <v>26</v>
      </c>
      <c r="E273" s="1">
        <v>570</v>
      </c>
      <c r="F273" s="1">
        <v>7</v>
      </c>
      <c r="G273" s="1">
        <v>3990</v>
      </c>
      <c r="H273" s="1">
        <v>3790.5</v>
      </c>
      <c r="I273" s="1">
        <v>940.5</v>
      </c>
      <c r="J273" t="s">
        <v>15</v>
      </c>
      <c r="K273">
        <v>2019</v>
      </c>
    </row>
    <row r="274" spans="1:11" hidden="1" x14ac:dyDescent="0.3">
      <c r="A274" t="s">
        <v>6</v>
      </c>
      <c r="B274" t="s">
        <v>14</v>
      </c>
      <c r="C274" t="s">
        <v>2</v>
      </c>
      <c r="D274" t="s">
        <v>26</v>
      </c>
      <c r="E274" s="1">
        <v>2487</v>
      </c>
      <c r="F274" s="1">
        <v>7</v>
      </c>
      <c r="G274" s="1">
        <v>17409</v>
      </c>
      <c r="H274" s="1">
        <v>16538.55</v>
      </c>
      <c r="I274" s="1">
        <v>4103.5499999999993</v>
      </c>
      <c r="J274" t="s">
        <v>15</v>
      </c>
      <c r="K274">
        <v>2019</v>
      </c>
    </row>
    <row r="275" spans="1:11" hidden="1" x14ac:dyDescent="0.3">
      <c r="A275" t="s">
        <v>6</v>
      </c>
      <c r="B275" t="s">
        <v>41</v>
      </c>
      <c r="C275" t="s">
        <v>11</v>
      </c>
      <c r="D275" t="s">
        <v>26</v>
      </c>
      <c r="E275" s="1">
        <v>1350</v>
      </c>
      <c r="F275" s="1">
        <v>350</v>
      </c>
      <c r="G275" s="1">
        <v>472500</v>
      </c>
      <c r="H275" s="1">
        <v>448875</v>
      </c>
      <c r="I275" s="1">
        <v>97875</v>
      </c>
      <c r="J275" t="s">
        <v>7</v>
      </c>
      <c r="K275">
        <v>2019</v>
      </c>
    </row>
    <row r="276" spans="1:11" hidden="1" x14ac:dyDescent="0.3">
      <c r="A276" t="s">
        <v>6</v>
      </c>
      <c r="B276" t="s">
        <v>40</v>
      </c>
      <c r="C276" t="s">
        <v>11</v>
      </c>
      <c r="D276" t="s">
        <v>26</v>
      </c>
      <c r="E276" s="1">
        <v>552</v>
      </c>
      <c r="F276" s="1">
        <v>350</v>
      </c>
      <c r="G276" s="1">
        <v>193200</v>
      </c>
      <c r="H276" s="1">
        <v>183540</v>
      </c>
      <c r="I276" s="1">
        <v>40020</v>
      </c>
      <c r="J276" t="s">
        <v>22</v>
      </c>
      <c r="K276">
        <v>2019</v>
      </c>
    </row>
    <row r="277" spans="1:11" hidden="1" x14ac:dyDescent="0.3">
      <c r="A277" t="s">
        <v>6</v>
      </c>
      <c r="B277" t="s">
        <v>40</v>
      </c>
      <c r="C277" t="s">
        <v>11</v>
      </c>
      <c r="D277" t="s">
        <v>26</v>
      </c>
      <c r="E277" s="1">
        <v>1228</v>
      </c>
      <c r="F277" s="1">
        <v>350</v>
      </c>
      <c r="G277" s="1">
        <v>429800</v>
      </c>
      <c r="H277" s="1">
        <v>408310</v>
      </c>
      <c r="I277" s="1">
        <v>89030</v>
      </c>
      <c r="J277" t="s">
        <v>10</v>
      </c>
      <c r="K277">
        <v>2018</v>
      </c>
    </row>
    <row r="278" spans="1:11" hidden="1" x14ac:dyDescent="0.3">
      <c r="A278" t="s">
        <v>12</v>
      </c>
      <c r="B278" t="s">
        <v>41</v>
      </c>
      <c r="C278" t="s">
        <v>11</v>
      </c>
      <c r="D278" t="s">
        <v>26</v>
      </c>
      <c r="E278" s="1">
        <v>1250</v>
      </c>
      <c r="F278" s="1">
        <v>300</v>
      </c>
      <c r="G278" s="1">
        <v>375000</v>
      </c>
      <c r="H278" s="1">
        <v>356250</v>
      </c>
      <c r="I278" s="1">
        <v>43750</v>
      </c>
      <c r="J278" t="s">
        <v>15</v>
      </c>
      <c r="K278">
        <v>2019</v>
      </c>
    </row>
    <row r="279" spans="1:11" hidden="1" x14ac:dyDescent="0.3">
      <c r="A279" t="s">
        <v>18</v>
      </c>
      <c r="B279" t="s">
        <v>14</v>
      </c>
      <c r="C279" t="s">
        <v>5</v>
      </c>
      <c r="D279" t="s">
        <v>26</v>
      </c>
      <c r="E279" s="1">
        <v>3801</v>
      </c>
      <c r="F279" s="1">
        <v>15</v>
      </c>
      <c r="G279" s="1">
        <v>57015</v>
      </c>
      <c r="H279" s="1">
        <v>53594.100000000006</v>
      </c>
      <c r="I279" s="1">
        <v>15584.100000000002</v>
      </c>
      <c r="J279" t="s">
        <v>4</v>
      </c>
      <c r="K279">
        <v>2019</v>
      </c>
    </row>
    <row r="280" spans="1:11" hidden="1" x14ac:dyDescent="0.3">
      <c r="A280" t="s">
        <v>6</v>
      </c>
      <c r="B280" t="s">
        <v>42</v>
      </c>
      <c r="C280" t="s">
        <v>23</v>
      </c>
      <c r="D280" t="s">
        <v>26</v>
      </c>
      <c r="E280" s="1">
        <v>1117.5</v>
      </c>
      <c r="F280" s="1">
        <v>20</v>
      </c>
      <c r="G280" s="1">
        <v>22350</v>
      </c>
      <c r="H280" s="1">
        <v>21009</v>
      </c>
      <c r="I280" s="1">
        <v>9834</v>
      </c>
      <c r="J280" t="s">
        <v>24</v>
      </c>
      <c r="K280">
        <v>2019</v>
      </c>
    </row>
    <row r="281" spans="1:11" hidden="1" x14ac:dyDescent="0.3">
      <c r="A281" t="s">
        <v>18</v>
      </c>
      <c r="B281" t="s">
        <v>40</v>
      </c>
      <c r="C281" t="s">
        <v>23</v>
      </c>
      <c r="D281" t="s">
        <v>26</v>
      </c>
      <c r="E281" s="1">
        <v>2844</v>
      </c>
      <c r="F281" s="1">
        <v>15</v>
      </c>
      <c r="G281" s="1">
        <v>42660</v>
      </c>
      <c r="H281" s="1">
        <v>40100.400000000001</v>
      </c>
      <c r="I281" s="1">
        <v>11660.400000000001</v>
      </c>
      <c r="J281" t="s">
        <v>25</v>
      </c>
      <c r="K281">
        <v>2019</v>
      </c>
    </row>
    <row r="282" spans="1:11" hidden="1" x14ac:dyDescent="0.3">
      <c r="A282" t="s">
        <v>3</v>
      </c>
      <c r="B282" t="s">
        <v>9</v>
      </c>
      <c r="C282" t="s">
        <v>23</v>
      </c>
      <c r="D282" t="s">
        <v>26</v>
      </c>
      <c r="E282" s="1">
        <v>562</v>
      </c>
      <c r="F282" s="1">
        <v>12</v>
      </c>
      <c r="G282" s="1">
        <v>6744</v>
      </c>
      <c r="H282" s="1">
        <v>6339.36</v>
      </c>
      <c r="I282" s="1">
        <v>4653.3599999999997</v>
      </c>
      <c r="J282" t="s">
        <v>21</v>
      </c>
      <c r="K282">
        <v>2019</v>
      </c>
    </row>
    <row r="283" spans="1:11" x14ac:dyDescent="0.3">
      <c r="A283" t="s">
        <v>3</v>
      </c>
      <c r="B283" t="s">
        <v>40</v>
      </c>
      <c r="C283" t="s">
        <v>23</v>
      </c>
      <c r="D283" t="s">
        <v>26</v>
      </c>
      <c r="E283" s="1">
        <v>2299</v>
      </c>
      <c r="F283" s="1">
        <v>12</v>
      </c>
      <c r="G283" s="1">
        <v>27588</v>
      </c>
      <c r="H283" s="1">
        <v>25932.720000000001</v>
      </c>
      <c r="I283" s="1">
        <v>19035.72</v>
      </c>
      <c r="J283" t="s">
        <v>10</v>
      </c>
      <c r="K283">
        <v>2018</v>
      </c>
    </row>
    <row r="284" spans="1:11" hidden="1" x14ac:dyDescent="0.3">
      <c r="A284" t="s">
        <v>18</v>
      </c>
      <c r="B284" t="s">
        <v>42</v>
      </c>
      <c r="C284" t="s">
        <v>23</v>
      </c>
      <c r="D284" t="s">
        <v>26</v>
      </c>
      <c r="E284" s="1">
        <v>2030</v>
      </c>
      <c r="F284" s="1">
        <v>15</v>
      </c>
      <c r="G284" s="1">
        <v>30450</v>
      </c>
      <c r="H284" s="1">
        <v>28623</v>
      </c>
      <c r="I284" s="1">
        <v>8323</v>
      </c>
      <c r="J284" t="s">
        <v>16</v>
      </c>
      <c r="K284">
        <v>2019</v>
      </c>
    </row>
    <row r="285" spans="1:11" hidden="1" x14ac:dyDescent="0.3">
      <c r="A285" t="s">
        <v>6</v>
      </c>
      <c r="B285" t="s">
        <v>42</v>
      </c>
      <c r="C285" t="s">
        <v>23</v>
      </c>
      <c r="D285" t="s">
        <v>26</v>
      </c>
      <c r="E285" s="1">
        <v>263</v>
      </c>
      <c r="F285" s="1">
        <v>7</v>
      </c>
      <c r="G285" s="1">
        <v>1841</v>
      </c>
      <c r="H285" s="1">
        <v>1730.54</v>
      </c>
      <c r="I285" s="1">
        <v>415.53999999999996</v>
      </c>
      <c r="J285" t="s">
        <v>16</v>
      </c>
      <c r="K285">
        <v>2018</v>
      </c>
    </row>
    <row r="286" spans="1:11" hidden="1" x14ac:dyDescent="0.3">
      <c r="A286" t="s">
        <v>17</v>
      </c>
      <c r="B286" t="s">
        <v>41</v>
      </c>
      <c r="C286" t="s">
        <v>23</v>
      </c>
      <c r="D286" t="s">
        <v>26</v>
      </c>
      <c r="E286" s="1">
        <v>887</v>
      </c>
      <c r="F286" s="1">
        <v>125</v>
      </c>
      <c r="G286" s="1">
        <v>110875</v>
      </c>
      <c r="H286" s="1">
        <v>104222.5</v>
      </c>
      <c r="I286" s="1">
        <v>-2217.5</v>
      </c>
      <c r="J286" t="s">
        <v>15</v>
      </c>
      <c r="K286">
        <v>2018</v>
      </c>
    </row>
    <row r="287" spans="1:11" hidden="1" x14ac:dyDescent="0.3">
      <c r="A287" t="s">
        <v>6</v>
      </c>
      <c r="B287" t="s">
        <v>9</v>
      </c>
      <c r="C287" t="s">
        <v>8</v>
      </c>
      <c r="D287" t="s">
        <v>26</v>
      </c>
      <c r="E287" s="1">
        <v>980</v>
      </c>
      <c r="F287" s="1">
        <v>350</v>
      </c>
      <c r="G287" s="1">
        <v>343000</v>
      </c>
      <c r="H287" s="1">
        <v>322420</v>
      </c>
      <c r="I287" s="1">
        <v>67620</v>
      </c>
      <c r="J287" t="s">
        <v>4</v>
      </c>
      <c r="K287">
        <v>2019</v>
      </c>
    </row>
    <row r="288" spans="1:11" hidden="1" x14ac:dyDescent="0.3">
      <c r="A288" t="s">
        <v>6</v>
      </c>
      <c r="B288" t="s">
        <v>41</v>
      </c>
      <c r="C288" t="s">
        <v>8</v>
      </c>
      <c r="D288" t="s">
        <v>26</v>
      </c>
      <c r="E288" s="1">
        <v>1460</v>
      </c>
      <c r="F288" s="1">
        <v>350</v>
      </c>
      <c r="G288" s="1">
        <v>511000</v>
      </c>
      <c r="H288" s="1">
        <v>480340</v>
      </c>
      <c r="I288" s="1">
        <v>100740</v>
      </c>
      <c r="J288" t="s">
        <v>0</v>
      </c>
      <c r="K288">
        <v>2019</v>
      </c>
    </row>
    <row r="289" spans="1:11" hidden="1" x14ac:dyDescent="0.3">
      <c r="A289" t="s">
        <v>6</v>
      </c>
      <c r="B289" t="s">
        <v>14</v>
      </c>
      <c r="C289" t="s">
        <v>8</v>
      </c>
      <c r="D289" t="s">
        <v>26</v>
      </c>
      <c r="E289" s="1">
        <v>1403</v>
      </c>
      <c r="F289" s="1">
        <v>7</v>
      </c>
      <c r="G289" s="1">
        <v>9821</v>
      </c>
      <c r="H289" s="1">
        <v>9231.74</v>
      </c>
      <c r="I289" s="1">
        <v>2216.7399999999998</v>
      </c>
      <c r="J289" t="s">
        <v>10</v>
      </c>
      <c r="K289">
        <v>2018</v>
      </c>
    </row>
    <row r="290" spans="1:11" hidden="1" x14ac:dyDescent="0.3">
      <c r="A290" t="s">
        <v>3</v>
      </c>
      <c r="B290" t="s">
        <v>42</v>
      </c>
      <c r="C290" t="s">
        <v>8</v>
      </c>
      <c r="D290" t="s">
        <v>26</v>
      </c>
      <c r="E290" s="1">
        <v>2723</v>
      </c>
      <c r="F290" s="1">
        <v>12</v>
      </c>
      <c r="G290" s="1">
        <v>32676</v>
      </c>
      <c r="H290" s="1">
        <v>30715.439999999999</v>
      </c>
      <c r="I290" s="1">
        <v>22546.44</v>
      </c>
      <c r="J290" t="s">
        <v>16</v>
      </c>
      <c r="K290">
        <v>2019</v>
      </c>
    </row>
    <row r="291" spans="1:11" hidden="1" x14ac:dyDescent="0.3">
      <c r="A291" t="s">
        <v>6</v>
      </c>
      <c r="B291" t="s">
        <v>14</v>
      </c>
      <c r="C291" t="s">
        <v>5</v>
      </c>
      <c r="D291" t="s">
        <v>26</v>
      </c>
      <c r="E291" s="1">
        <v>1496</v>
      </c>
      <c r="F291" s="1">
        <v>350</v>
      </c>
      <c r="G291" s="1">
        <v>523600</v>
      </c>
      <c r="H291" s="1">
        <v>492184</v>
      </c>
      <c r="I291" s="1">
        <v>103224</v>
      </c>
      <c r="J291" t="s">
        <v>25</v>
      </c>
      <c r="K291">
        <v>2019</v>
      </c>
    </row>
    <row r="292" spans="1:11" x14ac:dyDescent="0.3">
      <c r="A292" t="s">
        <v>3</v>
      </c>
      <c r="B292" t="s">
        <v>40</v>
      </c>
      <c r="C292" t="s">
        <v>5</v>
      </c>
      <c r="D292" t="s">
        <v>26</v>
      </c>
      <c r="E292" s="1">
        <v>2299</v>
      </c>
      <c r="F292" s="1">
        <v>12</v>
      </c>
      <c r="G292" s="1">
        <v>27588</v>
      </c>
      <c r="H292" s="1">
        <v>25932.720000000001</v>
      </c>
      <c r="I292" s="1">
        <v>19035.72</v>
      </c>
      <c r="J292" t="s">
        <v>10</v>
      </c>
      <c r="K292">
        <v>2018</v>
      </c>
    </row>
    <row r="293" spans="1:11" hidden="1" x14ac:dyDescent="0.3">
      <c r="A293" t="s">
        <v>6</v>
      </c>
      <c r="B293" t="s">
        <v>42</v>
      </c>
      <c r="C293" t="s">
        <v>5</v>
      </c>
      <c r="D293" t="s">
        <v>26</v>
      </c>
      <c r="E293" s="1">
        <v>727</v>
      </c>
      <c r="F293" s="1">
        <v>350</v>
      </c>
      <c r="G293" s="1">
        <v>254450</v>
      </c>
      <c r="H293" s="1">
        <v>239183</v>
      </c>
      <c r="I293" s="1">
        <v>50163</v>
      </c>
      <c r="J293" t="s">
        <v>10</v>
      </c>
      <c r="K293">
        <v>2018</v>
      </c>
    </row>
    <row r="294" spans="1:11" hidden="1" x14ac:dyDescent="0.3">
      <c r="A294" t="s">
        <v>17</v>
      </c>
      <c r="B294" t="s">
        <v>40</v>
      </c>
      <c r="C294" t="s">
        <v>20</v>
      </c>
      <c r="D294" t="s">
        <v>26</v>
      </c>
      <c r="E294" s="1">
        <v>952</v>
      </c>
      <c r="F294" s="1">
        <v>125</v>
      </c>
      <c r="G294" s="1">
        <v>119000</v>
      </c>
      <c r="H294" s="1">
        <v>111860</v>
      </c>
      <c r="I294" s="1">
        <v>-2380</v>
      </c>
      <c r="J294" t="s">
        <v>7</v>
      </c>
      <c r="K294">
        <v>2019</v>
      </c>
    </row>
    <row r="295" spans="1:11" hidden="1" x14ac:dyDescent="0.3">
      <c r="A295" t="s">
        <v>17</v>
      </c>
      <c r="B295" t="s">
        <v>42</v>
      </c>
      <c r="C295" t="s">
        <v>20</v>
      </c>
      <c r="D295" t="s">
        <v>26</v>
      </c>
      <c r="E295" s="1">
        <v>2755</v>
      </c>
      <c r="F295" s="1">
        <v>125</v>
      </c>
      <c r="G295" s="1">
        <v>344375</v>
      </c>
      <c r="H295" s="1">
        <v>323712.5</v>
      </c>
      <c r="I295" s="1">
        <v>-6887.5</v>
      </c>
      <c r="J295" t="s">
        <v>7</v>
      </c>
      <c r="K295">
        <v>2019</v>
      </c>
    </row>
    <row r="296" spans="1:11" hidden="1" x14ac:dyDescent="0.3">
      <c r="A296" t="s">
        <v>18</v>
      </c>
      <c r="B296" t="s">
        <v>41</v>
      </c>
      <c r="C296" t="s">
        <v>20</v>
      </c>
      <c r="D296" t="s">
        <v>26</v>
      </c>
      <c r="E296" s="1">
        <v>1530</v>
      </c>
      <c r="F296" s="1">
        <v>15</v>
      </c>
      <c r="G296" s="1">
        <v>22950</v>
      </c>
      <c r="H296" s="1">
        <v>21573</v>
      </c>
      <c r="I296" s="1">
        <v>6273</v>
      </c>
      <c r="J296" t="s">
        <v>0</v>
      </c>
      <c r="K296">
        <v>2019</v>
      </c>
    </row>
    <row r="297" spans="1:11" hidden="1" x14ac:dyDescent="0.3">
      <c r="A297" t="s">
        <v>6</v>
      </c>
      <c r="B297" t="s">
        <v>14</v>
      </c>
      <c r="C297" t="s">
        <v>20</v>
      </c>
      <c r="D297" t="s">
        <v>26</v>
      </c>
      <c r="E297" s="1">
        <v>1496</v>
      </c>
      <c r="F297" s="1">
        <v>350</v>
      </c>
      <c r="G297" s="1">
        <v>523600</v>
      </c>
      <c r="H297" s="1">
        <v>492184</v>
      </c>
      <c r="I297" s="1">
        <v>103224</v>
      </c>
      <c r="J297" t="s">
        <v>25</v>
      </c>
      <c r="K297">
        <v>2019</v>
      </c>
    </row>
    <row r="298" spans="1:11" hidden="1" x14ac:dyDescent="0.3">
      <c r="A298" t="s">
        <v>6</v>
      </c>
      <c r="B298" t="s">
        <v>9</v>
      </c>
      <c r="C298" t="s">
        <v>20</v>
      </c>
      <c r="D298" t="s">
        <v>26</v>
      </c>
      <c r="E298" s="1">
        <v>1498</v>
      </c>
      <c r="F298" s="1">
        <v>7</v>
      </c>
      <c r="G298" s="1">
        <v>10486</v>
      </c>
      <c r="H298" s="1">
        <v>9856.84</v>
      </c>
      <c r="I298" s="1">
        <v>2366.84</v>
      </c>
      <c r="J298" t="s">
        <v>25</v>
      </c>
      <c r="K298">
        <v>2019</v>
      </c>
    </row>
    <row r="299" spans="1:11" hidden="1" x14ac:dyDescent="0.3">
      <c r="A299" t="s">
        <v>12</v>
      </c>
      <c r="B299" t="s">
        <v>14</v>
      </c>
      <c r="C299" t="s">
        <v>20</v>
      </c>
      <c r="D299" t="s">
        <v>26</v>
      </c>
      <c r="E299" s="1">
        <v>1221</v>
      </c>
      <c r="F299" s="1">
        <v>300</v>
      </c>
      <c r="G299" s="1">
        <v>366300</v>
      </c>
      <c r="H299" s="1">
        <v>344322</v>
      </c>
      <c r="I299" s="1">
        <v>39072</v>
      </c>
      <c r="J299" t="s">
        <v>10</v>
      </c>
      <c r="K299">
        <v>2018</v>
      </c>
    </row>
    <row r="300" spans="1:11" hidden="1" x14ac:dyDescent="0.3">
      <c r="A300" t="s">
        <v>6</v>
      </c>
      <c r="B300" t="s">
        <v>14</v>
      </c>
      <c r="C300" t="s">
        <v>20</v>
      </c>
      <c r="D300" t="s">
        <v>26</v>
      </c>
      <c r="E300" s="1">
        <v>2076</v>
      </c>
      <c r="F300" s="1">
        <v>350</v>
      </c>
      <c r="G300" s="1">
        <v>726600</v>
      </c>
      <c r="H300" s="1">
        <v>683004</v>
      </c>
      <c r="I300" s="1">
        <v>143244</v>
      </c>
      <c r="J300" t="s">
        <v>10</v>
      </c>
      <c r="K300">
        <v>2018</v>
      </c>
    </row>
    <row r="301" spans="1:11" hidden="1" x14ac:dyDescent="0.3">
      <c r="A301" t="s">
        <v>18</v>
      </c>
      <c r="B301" t="s">
        <v>40</v>
      </c>
      <c r="C301" t="s">
        <v>2</v>
      </c>
      <c r="D301" t="s">
        <v>26</v>
      </c>
      <c r="E301" s="1">
        <v>2844</v>
      </c>
      <c r="F301" s="1">
        <v>15</v>
      </c>
      <c r="G301" s="1">
        <v>42660</v>
      </c>
      <c r="H301" s="1">
        <v>40100.400000000001</v>
      </c>
      <c r="I301" s="1">
        <v>11660.400000000001</v>
      </c>
      <c r="J301" t="s">
        <v>25</v>
      </c>
      <c r="K301">
        <v>2019</v>
      </c>
    </row>
    <row r="302" spans="1:11" hidden="1" x14ac:dyDescent="0.3">
      <c r="A302" t="s">
        <v>6</v>
      </c>
      <c r="B302" t="s">
        <v>9</v>
      </c>
      <c r="C302" t="s">
        <v>2</v>
      </c>
      <c r="D302" t="s">
        <v>26</v>
      </c>
      <c r="E302" s="1">
        <v>1498</v>
      </c>
      <c r="F302" s="1">
        <v>7</v>
      </c>
      <c r="G302" s="1">
        <v>10486</v>
      </c>
      <c r="H302" s="1">
        <v>9856.84</v>
      </c>
      <c r="I302" s="1">
        <v>2366.84</v>
      </c>
      <c r="J302" t="s">
        <v>25</v>
      </c>
      <c r="K302">
        <v>2019</v>
      </c>
    </row>
    <row r="303" spans="1:11" hidden="1" x14ac:dyDescent="0.3">
      <c r="A303" t="s">
        <v>12</v>
      </c>
      <c r="B303" t="s">
        <v>14</v>
      </c>
      <c r="C303" t="s">
        <v>2</v>
      </c>
      <c r="D303" t="s">
        <v>26</v>
      </c>
      <c r="E303" s="1">
        <v>1221</v>
      </c>
      <c r="F303" s="1">
        <v>300</v>
      </c>
      <c r="G303" s="1">
        <v>366300</v>
      </c>
      <c r="H303" s="1">
        <v>344322</v>
      </c>
      <c r="I303" s="1">
        <v>39072</v>
      </c>
      <c r="J303" t="s">
        <v>10</v>
      </c>
      <c r="K303">
        <v>2018</v>
      </c>
    </row>
    <row r="304" spans="1:11" hidden="1" x14ac:dyDescent="0.3">
      <c r="A304" t="s">
        <v>6</v>
      </c>
      <c r="B304" t="s">
        <v>9</v>
      </c>
      <c r="C304" t="s">
        <v>2</v>
      </c>
      <c r="D304" t="s">
        <v>26</v>
      </c>
      <c r="E304" s="1">
        <v>1123</v>
      </c>
      <c r="F304" s="1">
        <v>20</v>
      </c>
      <c r="G304" s="1">
        <v>22460</v>
      </c>
      <c r="H304" s="1">
        <v>21112.400000000001</v>
      </c>
      <c r="I304" s="1">
        <v>9882.4000000000015</v>
      </c>
      <c r="J304" t="s">
        <v>16</v>
      </c>
      <c r="K304">
        <v>2018</v>
      </c>
    </row>
    <row r="305" spans="1:11" hidden="1" x14ac:dyDescent="0.3">
      <c r="A305" t="s">
        <v>12</v>
      </c>
      <c r="B305" t="s">
        <v>40</v>
      </c>
      <c r="C305" t="s">
        <v>2</v>
      </c>
      <c r="D305" t="s">
        <v>26</v>
      </c>
      <c r="E305" s="1">
        <v>2436</v>
      </c>
      <c r="F305" s="1">
        <v>300</v>
      </c>
      <c r="G305" s="1">
        <v>730800</v>
      </c>
      <c r="H305" s="1">
        <v>686952</v>
      </c>
      <c r="I305" s="1">
        <v>77952</v>
      </c>
      <c r="J305" t="s">
        <v>15</v>
      </c>
      <c r="K305">
        <v>2018</v>
      </c>
    </row>
    <row r="306" spans="1:11" hidden="1" x14ac:dyDescent="0.3">
      <c r="A306" t="s">
        <v>17</v>
      </c>
      <c r="B306" t="s">
        <v>14</v>
      </c>
      <c r="C306" t="s">
        <v>11</v>
      </c>
      <c r="D306" t="s">
        <v>26</v>
      </c>
      <c r="E306" s="1">
        <v>1987.5</v>
      </c>
      <c r="F306" s="1">
        <v>125</v>
      </c>
      <c r="G306" s="1">
        <v>248437.5</v>
      </c>
      <c r="H306" s="1">
        <v>233531.25</v>
      </c>
      <c r="I306" s="1">
        <v>-4968.75</v>
      </c>
      <c r="J306" t="s">
        <v>24</v>
      </c>
      <c r="K306">
        <v>2019</v>
      </c>
    </row>
    <row r="307" spans="1:11" hidden="1" x14ac:dyDescent="0.3">
      <c r="A307" t="s">
        <v>6</v>
      </c>
      <c r="B307" t="s">
        <v>9</v>
      </c>
      <c r="C307" t="s">
        <v>11</v>
      </c>
      <c r="D307" t="s">
        <v>26</v>
      </c>
      <c r="E307" s="1">
        <v>1679</v>
      </c>
      <c r="F307" s="1">
        <v>350</v>
      </c>
      <c r="G307" s="1">
        <v>587650</v>
      </c>
      <c r="H307" s="1">
        <v>552391</v>
      </c>
      <c r="I307" s="1">
        <v>115851</v>
      </c>
      <c r="J307" t="s">
        <v>21</v>
      </c>
      <c r="K307">
        <v>2019</v>
      </c>
    </row>
    <row r="308" spans="1:11" hidden="1" x14ac:dyDescent="0.3">
      <c r="A308" t="s">
        <v>6</v>
      </c>
      <c r="B308" t="s">
        <v>42</v>
      </c>
      <c r="C308" t="s">
        <v>11</v>
      </c>
      <c r="D308" t="s">
        <v>26</v>
      </c>
      <c r="E308" s="1">
        <v>727</v>
      </c>
      <c r="F308" s="1">
        <v>350</v>
      </c>
      <c r="G308" s="1">
        <v>254450</v>
      </c>
      <c r="H308" s="1">
        <v>239183</v>
      </c>
      <c r="I308" s="1">
        <v>50163</v>
      </c>
      <c r="J308" t="s">
        <v>10</v>
      </c>
      <c r="K308">
        <v>2018</v>
      </c>
    </row>
    <row r="309" spans="1:11" hidden="1" x14ac:dyDescent="0.3">
      <c r="A309" t="s">
        <v>6</v>
      </c>
      <c r="B309" t="s">
        <v>14</v>
      </c>
      <c r="C309" t="s">
        <v>11</v>
      </c>
      <c r="D309" t="s">
        <v>26</v>
      </c>
      <c r="E309" s="1">
        <v>1403</v>
      </c>
      <c r="F309" s="1">
        <v>7</v>
      </c>
      <c r="G309" s="1">
        <v>9821</v>
      </c>
      <c r="H309" s="1">
        <v>9231.74</v>
      </c>
      <c r="I309" s="1">
        <v>2216.7399999999998</v>
      </c>
      <c r="J309" t="s">
        <v>10</v>
      </c>
      <c r="K309">
        <v>2018</v>
      </c>
    </row>
    <row r="310" spans="1:11" hidden="1" x14ac:dyDescent="0.3">
      <c r="A310" t="s">
        <v>6</v>
      </c>
      <c r="B310" t="s">
        <v>14</v>
      </c>
      <c r="C310" t="s">
        <v>11</v>
      </c>
      <c r="D310" t="s">
        <v>26</v>
      </c>
      <c r="E310" s="1">
        <v>2076</v>
      </c>
      <c r="F310" s="1">
        <v>350</v>
      </c>
      <c r="G310" s="1">
        <v>726600</v>
      </c>
      <c r="H310" s="1">
        <v>683004</v>
      </c>
      <c r="I310" s="1">
        <v>143244</v>
      </c>
      <c r="J310" t="s">
        <v>10</v>
      </c>
      <c r="K310">
        <v>2018</v>
      </c>
    </row>
    <row r="311" spans="1:11" hidden="1" x14ac:dyDescent="0.3">
      <c r="A311" t="s">
        <v>6</v>
      </c>
      <c r="B311" t="s">
        <v>14</v>
      </c>
      <c r="C311" t="s">
        <v>8</v>
      </c>
      <c r="D311" t="s">
        <v>26</v>
      </c>
      <c r="E311" s="1">
        <v>1757</v>
      </c>
      <c r="F311" s="1">
        <v>20</v>
      </c>
      <c r="G311" s="1">
        <v>35140</v>
      </c>
      <c r="H311" s="1">
        <v>33031.599999999999</v>
      </c>
      <c r="I311" s="1">
        <v>15461.599999999999</v>
      </c>
      <c r="J311" t="s">
        <v>10</v>
      </c>
      <c r="K311">
        <v>2018</v>
      </c>
    </row>
    <row r="312" spans="1:11" hidden="1" x14ac:dyDescent="0.3">
      <c r="A312" t="s">
        <v>18</v>
      </c>
      <c r="B312" t="s">
        <v>42</v>
      </c>
      <c r="C312" t="s">
        <v>5</v>
      </c>
      <c r="D312" t="s">
        <v>26</v>
      </c>
      <c r="E312" s="1">
        <v>2198</v>
      </c>
      <c r="F312" s="1">
        <v>15</v>
      </c>
      <c r="G312" s="1">
        <v>32970</v>
      </c>
      <c r="H312" s="1">
        <v>30991.8</v>
      </c>
      <c r="I312" s="1">
        <v>9011.7999999999993</v>
      </c>
      <c r="J312" t="s">
        <v>22</v>
      </c>
      <c r="K312">
        <v>2019</v>
      </c>
    </row>
    <row r="313" spans="1:11" hidden="1" x14ac:dyDescent="0.3">
      <c r="A313" t="s">
        <v>18</v>
      </c>
      <c r="B313" t="s">
        <v>41</v>
      </c>
      <c r="C313" t="s">
        <v>5</v>
      </c>
      <c r="D313" t="s">
        <v>26</v>
      </c>
      <c r="E313" s="1">
        <v>1743</v>
      </c>
      <c r="F313" s="1">
        <v>15</v>
      </c>
      <c r="G313" s="1">
        <v>26145</v>
      </c>
      <c r="H313" s="1">
        <v>24576.3</v>
      </c>
      <c r="I313" s="1">
        <v>7146.2999999999993</v>
      </c>
      <c r="J313" t="s">
        <v>22</v>
      </c>
      <c r="K313">
        <v>2019</v>
      </c>
    </row>
    <row r="314" spans="1:11" hidden="1" x14ac:dyDescent="0.3">
      <c r="A314" t="s">
        <v>18</v>
      </c>
      <c r="B314" t="s">
        <v>42</v>
      </c>
      <c r="C314" t="s">
        <v>5</v>
      </c>
      <c r="D314" t="s">
        <v>26</v>
      </c>
      <c r="E314" s="1">
        <v>1153</v>
      </c>
      <c r="F314" s="1">
        <v>15</v>
      </c>
      <c r="G314" s="1">
        <v>17295</v>
      </c>
      <c r="H314" s="1">
        <v>16257.3</v>
      </c>
      <c r="I314" s="1">
        <v>4727.2999999999993</v>
      </c>
      <c r="J314" t="s">
        <v>10</v>
      </c>
      <c r="K314">
        <v>2019</v>
      </c>
    </row>
    <row r="315" spans="1:11" hidden="1" x14ac:dyDescent="0.3">
      <c r="A315" t="s">
        <v>6</v>
      </c>
      <c r="B315" t="s">
        <v>14</v>
      </c>
      <c r="C315" t="s">
        <v>5</v>
      </c>
      <c r="D315" t="s">
        <v>26</v>
      </c>
      <c r="E315" s="1">
        <v>1757</v>
      </c>
      <c r="F315" s="1">
        <v>20</v>
      </c>
      <c r="G315" s="1">
        <v>35140</v>
      </c>
      <c r="H315" s="1">
        <v>33031.599999999999</v>
      </c>
      <c r="I315" s="1">
        <v>15461.599999999999</v>
      </c>
      <c r="J315" t="s">
        <v>10</v>
      </c>
      <c r="K315">
        <v>2018</v>
      </c>
    </row>
    <row r="316" spans="1:11" hidden="1" x14ac:dyDescent="0.3">
      <c r="A316" t="s">
        <v>6</v>
      </c>
      <c r="B316" t="s">
        <v>41</v>
      </c>
      <c r="C316" t="s">
        <v>20</v>
      </c>
      <c r="D316" t="s">
        <v>26</v>
      </c>
      <c r="E316" s="1">
        <v>1001</v>
      </c>
      <c r="F316" s="1">
        <v>20</v>
      </c>
      <c r="G316" s="1">
        <v>20020</v>
      </c>
      <c r="H316" s="1">
        <v>18818.8</v>
      </c>
      <c r="I316" s="1">
        <v>8808.7999999999993</v>
      </c>
      <c r="J316" t="s">
        <v>22</v>
      </c>
      <c r="K316">
        <v>2019</v>
      </c>
    </row>
    <row r="317" spans="1:11" hidden="1" x14ac:dyDescent="0.3">
      <c r="A317" t="s">
        <v>6</v>
      </c>
      <c r="B317" t="s">
        <v>9</v>
      </c>
      <c r="C317" t="s">
        <v>20</v>
      </c>
      <c r="D317" t="s">
        <v>26</v>
      </c>
      <c r="E317" s="1">
        <v>1333</v>
      </c>
      <c r="F317" s="1">
        <v>7</v>
      </c>
      <c r="G317" s="1">
        <v>9331</v>
      </c>
      <c r="H317" s="1">
        <v>8771.14</v>
      </c>
      <c r="I317" s="1">
        <v>2106.1399999999994</v>
      </c>
      <c r="J317" t="s">
        <v>16</v>
      </c>
      <c r="K317">
        <v>2019</v>
      </c>
    </row>
    <row r="318" spans="1:11" hidden="1" x14ac:dyDescent="0.3">
      <c r="A318" t="s">
        <v>18</v>
      </c>
      <c r="B318" t="s">
        <v>42</v>
      </c>
      <c r="C318" t="s">
        <v>2</v>
      </c>
      <c r="D318" t="s">
        <v>26</v>
      </c>
      <c r="E318" s="1">
        <v>1153</v>
      </c>
      <c r="F318" s="1">
        <v>15</v>
      </c>
      <c r="G318" s="1">
        <v>17295</v>
      </c>
      <c r="H318" s="1">
        <v>16257.3</v>
      </c>
      <c r="I318" s="1">
        <v>4727.2999999999993</v>
      </c>
      <c r="J318" t="s">
        <v>10</v>
      </c>
      <c r="K318">
        <v>2019</v>
      </c>
    </row>
    <row r="319" spans="1:11" hidden="1" x14ac:dyDescent="0.3">
      <c r="A319" t="s">
        <v>3</v>
      </c>
      <c r="B319" t="s">
        <v>9</v>
      </c>
      <c r="C319" t="s">
        <v>23</v>
      </c>
      <c r="D319" t="s">
        <v>26</v>
      </c>
      <c r="E319" s="1">
        <v>727</v>
      </c>
      <c r="F319" s="1">
        <v>12</v>
      </c>
      <c r="G319" s="1">
        <v>8724</v>
      </c>
      <c r="H319" s="1">
        <v>8113.32</v>
      </c>
      <c r="I319" s="1">
        <v>5932.32</v>
      </c>
      <c r="J319" t="s">
        <v>7</v>
      </c>
      <c r="K319">
        <v>2019</v>
      </c>
    </row>
    <row r="320" spans="1:11" x14ac:dyDescent="0.3">
      <c r="A320" t="s">
        <v>3</v>
      </c>
      <c r="B320" t="s">
        <v>40</v>
      </c>
      <c r="C320" t="s">
        <v>23</v>
      </c>
      <c r="D320" t="s">
        <v>26</v>
      </c>
      <c r="E320" s="1">
        <v>1884</v>
      </c>
      <c r="F320" s="1">
        <v>12</v>
      </c>
      <c r="G320" s="1">
        <v>22608</v>
      </c>
      <c r="H320" s="1">
        <v>21025.439999999999</v>
      </c>
      <c r="I320" s="1">
        <v>15373.439999999999</v>
      </c>
      <c r="J320" t="s">
        <v>22</v>
      </c>
      <c r="K320">
        <v>2019</v>
      </c>
    </row>
    <row r="321" spans="1:11" hidden="1" x14ac:dyDescent="0.3">
      <c r="A321" t="s">
        <v>6</v>
      </c>
      <c r="B321" t="s">
        <v>9</v>
      </c>
      <c r="C321" t="s">
        <v>23</v>
      </c>
      <c r="D321" t="s">
        <v>26</v>
      </c>
      <c r="E321" s="1">
        <v>1834</v>
      </c>
      <c r="F321" s="1">
        <v>20</v>
      </c>
      <c r="G321" s="1">
        <v>36680</v>
      </c>
      <c r="H321" s="1">
        <v>34112.400000000001</v>
      </c>
      <c r="I321" s="1">
        <v>15772.400000000001</v>
      </c>
      <c r="J321" t="s">
        <v>21</v>
      </c>
      <c r="K321">
        <v>2018</v>
      </c>
    </row>
    <row r="322" spans="1:11" hidden="1" x14ac:dyDescent="0.3">
      <c r="A322" t="s">
        <v>3</v>
      </c>
      <c r="B322" t="s">
        <v>9</v>
      </c>
      <c r="C322" t="s">
        <v>8</v>
      </c>
      <c r="D322" t="s">
        <v>26</v>
      </c>
      <c r="E322" s="1">
        <v>2340</v>
      </c>
      <c r="F322" s="1">
        <v>12</v>
      </c>
      <c r="G322" s="1">
        <v>28080</v>
      </c>
      <c r="H322" s="1">
        <v>26114.400000000001</v>
      </c>
      <c r="I322" s="1">
        <v>19094.400000000001</v>
      </c>
      <c r="J322" t="s">
        <v>24</v>
      </c>
      <c r="K322">
        <v>2019</v>
      </c>
    </row>
    <row r="323" spans="1:11" hidden="1" x14ac:dyDescent="0.3">
      <c r="A323" t="s">
        <v>3</v>
      </c>
      <c r="B323" t="s">
        <v>14</v>
      </c>
      <c r="C323" t="s">
        <v>8</v>
      </c>
      <c r="D323" t="s">
        <v>26</v>
      </c>
      <c r="E323" s="1">
        <v>2342</v>
      </c>
      <c r="F323" s="1">
        <v>12</v>
      </c>
      <c r="G323" s="1">
        <v>28104</v>
      </c>
      <c r="H323" s="1">
        <v>26136.720000000001</v>
      </c>
      <c r="I323" s="1">
        <v>19110.72</v>
      </c>
      <c r="J323" t="s">
        <v>16</v>
      </c>
      <c r="K323">
        <v>2019</v>
      </c>
    </row>
    <row r="324" spans="1:11" hidden="1" x14ac:dyDescent="0.3">
      <c r="A324" t="s">
        <v>6</v>
      </c>
      <c r="B324" t="s">
        <v>14</v>
      </c>
      <c r="C324" t="s">
        <v>5</v>
      </c>
      <c r="D324" t="s">
        <v>26</v>
      </c>
      <c r="E324" s="1">
        <v>1031</v>
      </c>
      <c r="F324" s="1">
        <v>7</v>
      </c>
      <c r="G324" s="1">
        <v>7217</v>
      </c>
      <c r="H324" s="1">
        <v>6711.81</v>
      </c>
      <c r="I324" s="1">
        <v>1556.8100000000004</v>
      </c>
      <c r="J324" t="s">
        <v>21</v>
      </c>
      <c r="K324">
        <v>2018</v>
      </c>
    </row>
    <row r="325" spans="1:11" hidden="1" x14ac:dyDescent="0.3">
      <c r="A325" t="s">
        <v>18</v>
      </c>
      <c r="B325" t="s">
        <v>40</v>
      </c>
      <c r="C325" t="s">
        <v>20</v>
      </c>
      <c r="D325" t="s">
        <v>26</v>
      </c>
      <c r="E325" s="1">
        <v>1262</v>
      </c>
      <c r="F325" s="1">
        <v>15</v>
      </c>
      <c r="G325" s="1">
        <v>18930</v>
      </c>
      <c r="H325" s="1">
        <v>17604.900000000001</v>
      </c>
      <c r="I325" s="1">
        <v>4984.9000000000015</v>
      </c>
      <c r="J325" t="s">
        <v>0</v>
      </c>
      <c r="K325">
        <v>2019</v>
      </c>
    </row>
    <row r="326" spans="1:11" hidden="1" x14ac:dyDescent="0.3">
      <c r="A326" t="s">
        <v>6</v>
      </c>
      <c r="B326" t="s">
        <v>40</v>
      </c>
      <c r="C326" t="s">
        <v>20</v>
      </c>
      <c r="D326" t="s">
        <v>26</v>
      </c>
      <c r="E326" s="1">
        <v>1135</v>
      </c>
      <c r="F326" s="1">
        <v>7</v>
      </c>
      <c r="G326" s="1">
        <v>7945</v>
      </c>
      <c r="H326" s="1">
        <v>7388.85</v>
      </c>
      <c r="I326" s="1">
        <v>1713.8500000000004</v>
      </c>
      <c r="J326" t="s">
        <v>25</v>
      </c>
      <c r="K326">
        <v>2019</v>
      </c>
    </row>
    <row r="327" spans="1:11" hidden="1" x14ac:dyDescent="0.3">
      <c r="A327" t="s">
        <v>6</v>
      </c>
      <c r="B327" t="s">
        <v>42</v>
      </c>
      <c r="C327" t="s">
        <v>20</v>
      </c>
      <c r="D327" t="s">
        <v>26</v>
      </c>
      <c r="E327" s="1">
        <v>547</v>
      </c>
      <c r="F327" s="1">
        <v>7</v>
      </c>
      <c r="G327" s="1">
        <v>3829</v>
      </c>
      <c r="H327" s="1">
        <v>3560.9700000000003</v>
      </c>
      <c r="I327" s="1">
        <v>825.97000000000025</v>
      </c>
      <c r="J327" t="s">
        <v>16</v>
      </c>
      <c r="K327">
        <v>2019</v>
      </c>
    </row>
    <row r="328" spans="1:11" hidden="1" x14ac:dyDescent="0.3">
      <c r="A328" t="s">
        <v>6</v>
      </c>
      <c r="B328" t="s">
        <v>40</v>
      </c>
      <c r="C328" t="s">
        <v>20</v>
      </c>
      <c r="D328" t="s">
        <v>26</v>
      </c>
      <c r="E328" s="1">
        <v>1582</v>
      </c>
      <c r="F328" s="1">
        <v>7</v>
      </c>
      <c r="G328" s="1">
        <v>11074</v>
      </c>
      <c r="H328" s="1">
        <v>10298.82</v>
      </c>
      <c r="I328" s="1">
        <v>2388.8199999999997</v>
      </c>
      <c r="J328" t="s">
        <v>15</v>
      </c>
      <c r="K328">
        <v>2019</v>
      </c>
    </row>
    <row r="329" spans="1:11" hidden="1" x14ac:dyDescent="0.3">
      <c r="A329" t="s">
        <v>3</v>
      </c>
      <c r="B329" t="s">
        <v>14</v>
      </c>
      <c r="C329" t="s">
        <v>2</v>
      </c>
      <c r="D329" t="s">
        <v>26</v>
      </c>
      <c r="E329" s="1">
        <v>1738.5</v>
      </c>
      <c r="F329" s="1">
        <v>12</v>
      </c>
      <c r="G329" s="1">
        <v>20862</v>
      </c>
      <c r="H329" s="1">
        <v>19401.66</v>
      </c>
      <c r="I329" s="1">
        <v>14186.16</v>
      </c>
      <c r="J329" t="s">
        <v>4</v>
      </c>
      <c r="K329">
        <v>2019</v>
      </c>
    </row>
    <row r="330" spans="1:11" hidden="1" x14ac:dyDescent="0.3">
      <c r="A330" t="s">
        <v>3</v>
      </c>
      <c r="B330" t="s">
        <v>41</v>
      </c>
      <c r="C330" t="s">
        <v>2</v>
      </c>
      <c r="D330" t="s">
        <v>26</v>
      </c>
      <c r="E330" s="1">
        <v>2215</v>
      </c>
      <c r="F330" s="1">
        <v>12</v>
      </c>
      <c r="G330" s="1">
        <v>26580</v>
      </c>
      <c r="H330" s="1">
        <v>24719.4</v>
      </c>
      <c r="I330" s="1">
        <v>18074.400000000001</v>
      </c>
      <c r="J330" t="s">
        <v>21</v>
      </c>
      <c r="K330">
        <v>2018</v>
      </c>
    </row>
    <row r="331" spans="1:11" hidden="1" x14ac:dyDescent="0.3">
      <c r="A331" t="s">
        <v>6</v>
      </c>
      <c r="B331" t="s">
        <v>40</v>
      </c>
      <c r="C331" t="s">
        <v>2</v>
      </c>
      <c r="D331" t="s">
        <v>26</v>
      </c>
      <c r="E331" s="1">
        <v>1582</v>
      </c>
      <c r="F331" s="1">
        <v>7</v>
      </c>
      <c r="G331" s="1">
        <v>11074</v>
      </c>
      <c r="H331" s="1">
        <v>10298.82</v>
      </c>
      <c r="I331" s="1">
        <v>2388.8199999999997</v>
      </c>
      <c r="J331" t="s">
        <v>15</v>
      </c>
      <c r="K331">
        <v>2019</v>
      </c>
    </row>
    <row r="332" spans="1:11" hidden="1" x14ac:dyDescent="0.3">
      <c r="A332" t="s">
        <v>6</v>
      </c>
      <c r="B332" t="s">
        <v>40</v>
      </c>
      <c r="C332" t="s">
        <v>11</v>
      </c>
      <c r="D332" t="s">
        <v>26</v>
      </c>
      <c r="E332" s="1">
        <v>1135</v>
      </c>
      <c r="F332" s="1">
        <v>7</v>
      </c>
      <c r="G332" s="1">
        <v>7945</v>
      </c>
      <c r="H332" s="1">
        <v>7388.85</v>
      </c>
      <c r="I332" s="1">
        <v>1713.8500000000004</v>
      </c>
      <c r="J332" t="s">
        <v>25</v>
      </c>
      <c r="K332">
        <v>2019</v>
      </c>
    </row>
    <row r="333" spans="1:11" hidden="1" x14ac:dyDescent="0.3">
      <c r="A333" t="s">
        <v>6</v>
      </c>
      <c r="B333" t="s">
        <v>42</v>
      </c>
      <c r="C333" t="s">
        <v>23</v>
      </c>
      <c r="D333" t="s">
        <v>26</v>
      </c>
      <c r="E333" s="1">
        <v>1761</v>
      </c>
      <c r="F333" s="1">
        <v>350</v>
      </c>
      <c r="G333" s="1">
        <v>616350</v>
      </c>
      <c r="H333" s="1">
        <v>573205.5</v>
      </c>
      <c r="I333" s="1">
        <v>115345.5</v>
      </c>
      <c r="J333" t="s">
        <v>13</v>
      </c>
      <c r="K333">
        <v>2019</v>
      </c>
    </row>
    <row r="334" spans="1:11" hidden="1" x14ac:dyDescent="0.3">
      <c r="A334" t="s">
        <v>12</v>
      </c>
      <c r="B334" t="s">
        <v>14</v>
      </c>
      <c r="C334" t="s">
        <v>23</v>
      </c>
      <c r="D334" t="s">
        <v>26</v>
      </c>
      <c r="E334" s="1">
        <v>448</v>
      </c>
      <c r="F334" s="1">
        <v>300</v>
      </c>
      <c r="G334" s="1">
        <v>134400</v>
      </c>
      <c r="H334" s="1">
        <v>124992</v>
      </c>
      <c r="I334" s="1">
        <v>12992</v>
      </c>
      <c r="J334" t="s">
        <v>25</v>
      </c>
      <c r="K334">
        <v>2019</v>
      </c>
    </row>
    <row r="335" spans="1:11" hidden="1" x14ac:dyDescent="0.3">
      <c r="A335" t="s">
        <v>12</v>
      </c>
      <c r="B335" t="s">
        <v>14</v>
      </c>
      <c r="C335" t="s">
        <v>23</v>
      </c>
      <c r="D335" t="s">
        <v>26</v>
      </c>
      <c r="E335" s="1">
        <v>2181</v>
      </c>
      <c r="F335" s="1">
        <v>300</v>
      </c>
      <c r="G335" s="1">
        <v>654300</v>
      </c>
      <c r="H335" s="1">
        <v>608499</v>
      </c>
      <c r="I335" s="1">
        <v>63249</v>
      </c>
      <c r="J335" t="s">
        <v>10</v>
      </c>
      <c r="K335">
        <v>2019</v>
      </c>
    </row>
    <row r="336" spans="1:11" hidden="1" x14ac:dyDescent="0.3">
      <c r="A336" t="s">
        <v>6</v>
      </c>
      <c r="B336" t="s">
        <v>14</v>
      </c>
      <c r="C336" t="s">
        <v>8</v>
      </c>
      <c r="D336" t="s">
        <v>26</v>
      </c>
      <c r="E336" s="1">
        <v>1976</v>
      </c>
      <c r="F336" s="1">
        <v>20</v>
      </c>
      <c r="G336" s="1">
        <v>39520</v>
      </c>
      <c r="H336" s="1">
        <v>36753.599999999999</v>
      </c>
      <c r="I336" s="1">
        <v>16993.599999999999</v>
      </c>
      <c r="J336" t="s">
        <v>10</v>
      </c>
      <c r="K336">
        <v>2019</v>
      </c>
    </row>
    <row r="337" spans="1:11" hidden="1" x14ac:dyDescent="0.3">
      <c r="A337" t="s">
        <v>12</v>
      </c>
      <c r="B337" t="s">
        <v>14</v>
      </c>
      <c r="C337" t="s">
        <v>8</v>
      </c>
      <c r="D337" t="s">
        <v>26</v>
      </c>
      <c r="E337" s="1">
        <v>2181</v>
      </c>
      <c r="F337" s="1">
        <v>300</v>
      </c>
      <c r="G337" s="1">
        <v>654300</v>
      </c>
      <c r="H337" s="1">
        <v>608499</v>
      </c>
      <c r="I337" s="1">
        <v>63249</v>
      </c>
      <c r="J337" t="s">
        <v>10</v>
      </c>
      <c r="K337">
        <v>2019</v>
      </c>
    </row>
    <row r="338" spans="1:11" hidden="1" x14ac:dyDescent="0.3">
      <c r="A338" t="s">
        <v>17</v>
      </c>
      <c r="B338" t="s">
        <v>41</v>
      </c>
      <c r="C338" t="s">
        <v>8</v>
      </c>
      <c r="D338" t="s">
        <v>26</v>
      </c>
      <c r="E338" s="1">
        <v>2500</v>
      </c>
      <c r="F338" s="1">
        <v>125</v>
      </c>
      <c r="G338" s="1">
        <v>312500</v>
      </c>
      <c r="H338" s="1">
        <v>290625</v>
      </c>
      <c r="I338" s="1">
        <v>-9375</v>
      </c>
      <c r="J338" t="s">
        <v>16</v>
      </c>
      <c r="K338">
        <v>2018</v>
      </c>
    </row>
    <row r="339" spans="1:11" hidden="1" x14ac:dyDescent="0.3">
      <c r="A339" t="s">
        <v>12</v>
      </c>
      <c r="B339" t="s">
        <v>40</v>
      </c>
      <c r="C339" t="s">
        <v>5</v>
      </c>
      <c r="D339" t="s">
        <v>26</v>
      </c>
      <c r="E339" s="1">
        <v>1702</v>
      </c>
      <c r="F339" s="1">
        <v>300</v>
      </c>
      <c r="G339" s="1">
        <v>510600</v>
      </c>
      <c r="H339" s="1">
        <v>474858</v>
      </c>
      <c r="I339" s="1">
        <v>49358</v>
      </c>
      <c r="J339" t="s">
        <v>0</v>
      </c>
      <c r="K339">
        <v>2019</v>
      </c>
    </row>
    <row r="340" spans="1:11" hidden="1" x14ac:dyDescent="0.3">
      <c r="A340" t="s">
        <v>12</v>
      </c>
      <c r="B340" t="s">
        <v>14</v>
      </c>
      <c r="C340" t="s">
        <v>5</v>
      </c>
      <c r="D340" t="s">
        <v>26</v>
      </c>
      <c r="E340" s="1">
        <v>448</v>
      </c>
      <c r="F340" s="1">
        <v>300</v>
      </c>
      <c r="G340" s="1">
        <v>134400</v>
      </c>
      <c r="H340" s="1">
        <v>124992</v>
      </c>
      <c r="I340" s="1">
        <v>12992</v>
      </c>
      <c r="J340" t="s">
        <v>25</v>
      </c>
      <c r="K340">
        <v>2019</v>
      </c>
    </row>
    <row r="341" spans="1:11" hidden="1" x14ac:dyDescent="0.3">
      <c r="A341" t="s">
        <v>17</v>
      </c>
      <c r="B341" t="s">
        <v>41</v>
      </c>
      <c r="C341" t="s">
        <v>5</v>
      </c>
      <c r="D341" t="s">
        <v>26</v>
      </c>
      <c r="E341" s="1">
        <v>3513</v>
      </c>
      <c r="F341" s="1">
        <v>125</v>
      </c>
      <c r="G341" s="1">
        <v>439125</v>
      </c>
      <c r="H341" s="1">
        <v>408386.25</v>
      </c>
      <c r="I341" s="1">
        <v>-13173.75</v>
      </c>
      <c r="J341" t="s">
        <v>19</v>
      </c>
      <c r="K341">
        <v>2019</v>
      </c>
    </row>
    <row r="342" spans="1:11" hidden="1" x14ac:dyDescent="0.3">
      <c r="A342" t="s">
        <v>18</v>
      </c>
      <c r="B342" t="s">
        <v>14</v>
      </c>
      <c r="C342" t="s">
        <v>5</v>
      </c>
      <c r="D342" t="s">
        <v>26</v>
      </c>
      <c r="E342" s="1">
        <v>2101</v>
      </c>
      <c r="F342" s="1">
        <v>15</v>
      </c>
      <c r="G342" s="1">
        <v>31515</v>
      </c>
      <c r="H342" s="1">
        <v>29308.95</v>
      </c>
      <c r="I342" s="1">
        <v>8298.9500000000007</v>
      </c>
      <c r="J342" t="s">
        <v>22</v>
      </c>
      <c r="K342">
        <v>2019</v>
      </c>
    </row>
    <row r="343" spans="1:11" hidden="1" x14ac:dyDescent="0.3">
      <c r="A343" t="s">
        <v>18</v>
      </c>
      <c r="B343" t="s">
        <v>42</v>
      </c>
      <c r="C343" t="s">
        <v>5</v>
      </c>
      <c r="D343" t="s">
        <v>26</v>
      </c>
      <c r="E343" s="1">
        <v>2931</v>
      </c>
      <c r="F343" s="1">
        <v>15</v>
      </c>
      <c r="G343" s="1">
        <v>43965</v>
      </c>
      <c r="H343" s="1">
        <v>40887.449999999997</v>
      </c>
      <c r="I343" s="1">
        <v>11577.449999999997</v>
      </c>
      <c r="J343" t="s">
        <v>21</v>
      </c>
      <c r="K343">
        <v>2018</v>
      </c>
    </row>
    <row r="344" spans="1:11" hidden="1" x14ac:dyDescent="0.3">
      <c r="A344" t="s">
        <v>6</v>
      </c>
      <c r="B344" t="s">
        <v>14</v>
      </c>
      <c r="C344" t="s">
        <v>5</v>
      </c>
      <c r="D344" t="s">
        <v>26</v>
      </c>
      <c r="E344" s="1">
        <v>1535</v>
      </c>
      <c r="F344" s="1">
        <v>20</v>
      </c>
      <c r="G344" s="1">
        <v>30700</v>
      </c>
      <c r="H344" s="1">
        <v>28551</v>
      </c>
      <c r="I344" s="1">
        <v>13201</v>
      </c>
      <c r="J344" t="s">
        <v>21</v>
      </c>
      <c r="K344">
        <v>2019</v>
      </c>
    </row>
    <row r="345" spans="1:11" hidden="1" x14ac:dyDescent="0.3">
      <c r="A345" t="s">
        <v>12</v>
      </c>
      <c r="B345" t="s">
        <v>41</v>
      </c>
      <c r="C345" t="s">
        <v>5</v>
      </c>
      <c r="D345" t="s">
        <v>26</v>
      </c>
      <c r="E345" s="1">
        <v>1123</v>
      </c>
      <c r="F345" s="1">
        <v>300</v>
      </c>
      <c r="G345" s="1">
        <v>336900</v>
      </c>
      <c r="H345" s="1">
        <v>313317</v>
      </c>
      <c r="I345" s="1">
        <v>32567</v>
      </c>
      <c r="J345" t="s">
        <v>21</v>
      </c>
      <c r="K345">
        <v>2018</v>
      </c>
    </row>
    <row r="346" spans="1:11" hidden="1" x14ac:dyDescent="0.3">
      <c r="A346" t="s">
        <v>12</v>
      </c>
      <c r="B346" t="s">
        <v>40</v>
      </c>
      <c r="C346" t="s">
        <v>5</v>
      </c>
      <c r="D346" t="s">
        <v>26</v>
      </c>
      <c r="E346" s="1">
        <v>1404</v>
      </c>
      <c r="F346" s="1">
        <v>300</v>
      </c>
      <c r="G346" s="1">
        <v>421200</v>
      </c>
      <c r="H346" s="1">
        <v>391716</v>
      </c>
      <c r="I346" s="1">
        <v>40716</v>
      </c>
      <c r="J346" t="s">
        <v>16</v>
      </c>
      <c r="K346">
        <v>2018</v>
      </c>
    </row>
    <row r="347" spans="1:11" hidden="1" x14ac:dyDescent="0.3">
      <c r="A347" t="s">
        <v>3</v>
      </c>
      <c r="B347" t="s">
        <v>9</v>
      </c>
      <c r="C347" t="s">
        <v>5</v>
      </c>
      <c r="D347" t="s">
        <v>26</v>
      </c>
      <c r="E347" s="1">
        <v>2763</v>
      </c>
      <c r="F347" s="1">
        <v>12</v>
      </c>
      <c r="G347" s="1">
        <v>33156</v>
      </c>
      <c r="H347" s="1">
        <v>30835.08</v>
      </c>
      <c r="I347" s="1">
        <v>22546.080000000002</v>
      </c>
      <c r="J347" t="s">
        <v>16</v>
      </c>
      <c r="K347">
        <v>2018</v>
      </c>
    </row>
    <row r="348" spans="1:11" hidden="1" x14ac:dyDescent="0.3">
      <c r="A348" t="s">
        <v>6</v>
      </c>
      <c r="B348" t="s">
        <v>41</v>
      </c>
      <c r="C348" t="s">
        <v>5</v>
      </c>
      <c r="D348" t="s">
        <v>26</v>
      </c>
      <c r="E348" s="1">
        <v>2125</v>
      </c>
      <c r="F348" s="1">
        <v>7</v>
      </c>
      <c r="G348" s="1">
        <v>14875</v>
      </c>
      <c r="H348" s="1">
        <v>13833.75</v>
      </c>
      <c r="I348" s="1">
        <v>3208.75</v>
      </c>
      <c r="J348" t="s">
        <v>15</v>
      </c>
      <c r="K348">
        <v>2018</v>
      </c>
    </row>
    <row r="349" spans="1:11" hidden="1" x14ac:dyDescent="0.3">
      <c r="A349" t="s">
        <v>12</v>
      </c>
      <c r="B349" t="s">
        <v>14</v>
      </c>
      <c r="C349" t="s">
        <v>20</v>
      </c>
      <c r="D349" t="s">
        <v>26</v>
      </c>
      <c r="E349" s="1">
        <v>1659</v>
      </c>
      <c r="F349" s="1">
        <v>300</v>
      </c>
      <c r="G349" s="1">
        <v>497700</v>
      </c>
      <c r="H349" s="1">
        <v>462861</v>
      </c>
      <c r="I349" s="1">
        <v>48111</v>
      </c>
      <c r="J349" t="s">
        <v>19</v>
      </c>
      <c r="K349">
        <v>2019</v>
      </c>
    </row>
    <row r="350" spans="1:11" hidden="1" x14ac:dyDescent="0.3">
      <c r="A350" t="s">
        <v>6</v>
      </c>
      <c r="B350" t="s">
        <v>9</v>
      </c>
      <c r="C350" t="s">
        <v>20</v>
      </c>
      <c r="D350" t="s">
        <v>26</v>
      </c>
      <c r="E350" s="1">
        <v>609</v>
      </c>
      <c r="F350" s="1">
        <v>20</v>
      </c>
      <c r="G350" s="1">
        <v>12180</v>
      </c>
      <c r="H350" s="1">
        <v>11327.4</v>
      </c>
      <c r="I350" s="1">
        <v>5237.3999999999996</v>
      </c>
      <c r="J350" t="s">
        <v>22</v>
      </c>
      <c r="K350">
        <v>2019</v>
      </c>
    </row>
    <row r="351" spans="1:11" hidden="1" x14ac:dyDescent="0.3">
      <c r="A351" t="s">
        <v>17</v>
      </c>
      <c r="B351" t="s">
        <v>41</v>
      </c>
      <c r="C351" t="s">
        <v>20</v>
      </c>
      <c r="D351" t="s">
        <v>26</v>
      </c>
      <c r="E351" s="1">
        <v>2087</v>
      </c>
      <c r="F351" s="1">
        <v>125</v>
      </c>
      <c r="G351" s="1">
        <v>260875</v>
      </c>
      <c r="H351" s="1">
        <v>242613.75</v>
      </c>
      <c r="I351" s="1">
        <v>-7826.25</v>
      </c>
      <c r="J351" t="s">
        <v>21</v>
      </c>
      <c r="K351">
        <v>2019</v>
      </c>
    </row>
    <row r="352" spans="1:11" hidden="1" x14ac:dyDescent="0.3">
      <c r="A352" t="s">
        <v>6</v>
      </c>
      <c r="B352" t="s">
        <v>14</v>
      </c>
      <c r="C352" t="s">
        <v>20</v>
      </c>
      <c r="D352" t="s">
        <v>26</v>
      </c>
      <c r="E352" s="1">
        <v>1976</v>
      </c>
      <c r="F352" s="1">
        <v>20</v>
      </c>
      <c r="G352" s="1">
        <v>39520</v>
      </c>
      <c r="H352" s="1">
        <v>36753.599999999999</v>
      </c>
      <c r="I352" s="1">
        <v>16993.599999999999</v>
      </c>
      <c r="J352" t="s">
        <v>10</v>
      </c>
      <c r="K352">
        <v>2019</v>
      </c>
    </row>
    <row r="353" spans="1:11" hidden="1" x14ac:dyDescent="0.3">
      <c r="A353" t="s">
        <v>6</v>
      </c>
      <c r="B353" t="s">
        <v>42</v>
      </c>
      <c r="C353" t="s">
        <v>20</v>
      </c>
      <c r="D353" t="s">
        <v>26</v>
      </c>
      <c r="E353" s="1">
        <v>1421</v>
      </c>
      <c r="F353" s="1">
        <v>20</v>
      </c>
      <c r="G353" s="1">
        <v>28420</v>
      </c>
      <c r="H353" s="1">
        <v>26430.6</v>
      </c>
      <c r="I353" s="1">
        <v>12220.599999999999</v>
      </c>
      <c r="J353" t="s">
        <v>15</v>
      </c>
      <c r="K353">
        <v>2018</v>
      </c>
    </row>
    <row r="354" spans="1:11" hidden="1" x14ac:dyDescent="0.3">
      <c r="A354" t="s">
        <v>12</v>
      </c>
      <c r="B354" t="s">
        <v>42</v>
      </c>
      <c r="C354" t="s">
        <v>20</v>
      </c>
      <c r="D354" t="s">
        <v>26</v>
      </c>
      <c r="E354" s="1">
        <v>1372</v>
      </c>
      <c r="F354" s="1">
        <v>300</v>
      </c>
      <c r="G354" s="1">
        <v>411600</v>
      </c>
      <c r="H354" s="1">
        <v>382788</v>
      </c>
      <c r="I354" s="1">
        <v>39788</v>
      </c>
      <c r="J354" t="s">
        <v>15</v>
      </c>
      <c r="K354">
        <v>2019</v>
      </c>
    </row>
    <row r="355" spans="1:11" hidden="1" x14ac:dyDescent="0.3">
      <c r="A355" t="s">
        <v>6</v>
      </c>
      <c r="B355" t="s">
        <v>41</v>
      </c>
      <c r="C355" t="s">
        <v>20</v>
      </c>
      <c r="D355" t="s">
        <v>26</v>
      </c>
      <c r="E355" s="1">
        <v>588</v>
      </c>
      <c r="F355" s="1">
        <v>20</v>
      </c>
      <c r="G355" s="1">
        <v>11760</v>
      </c>
      <c r="H355" s="1">
        <v>10936.8</v>
      </c>
      <c r="I355" s="1">
        <v>5056.7999999999993</v>
      </c>
      <c r="J355" t="s">
        <v>15</v>
      </c>
      <c r="K355">
        <v>2018</v>
      </c>
    </row>
    <row r="356" spans="1:11" x14ac:dyDescent="0.3">
      <c r="A356" t="s">
        <v>3</v>
      </c>
      <c r="B356" t="s">
        <v>40</v>
      </c>
      <c r="C356" t="s">
        <v>2</v>
      </c>
      <c r="D356" t="s">
        <v>26</v>
      </c>
      <c r="E356" s="1">
        <v>3244.5</v>
      </c>
      <c r="F356" s="1">
        <v>12</v>
      </c>
      <c r="G356" s="1">
        <v>38934</v>
      </c>
      <c r="H356" s="1">
        <v>36208.620000000003</v>
      </c>
      <c r="I356" s="1">
        <v>26475.120000000003</v>
      </c>
      <c r="J356" t="s">
        <v>24</v>
      </c>
      <c r="K356">
        <v>2019</v>
      </c>
    </row>
    <row r="357" spans="1:11" hidden="1" x14ac:dyDescent="0.3">
      <c r="A357" t="s">
        <v>12</v>
      </c>
      <c r="B357" t="s">
        <v>14</v>
      </c>
      <c r="C357" t="s">
        <v>2</v>
      </c>
      <c r="D357" t="s">
        <v>26</v>
      </c>
      <c r="E357" s="1">
        <v>959</v>
      </c>
      <c r="F357" s="1">
        <v>300</v>
      </c>
      <c r="G357" s="1">
        <v>287700</v>
      </c>
      <c r="H357" s="1">
        <v>267561</v>
      </c>
      <c r="I357" s="1">
        <v>27811</v>
      </c>
      <c r="J357" t="s">
        <v>7</v>
      </c>
      <c r="K357">
        <v>2019</v>
      </c>
    </row>
    <row r="358" spans="1:11" hidden="1" x14ac:dyDescent="0.3">
      <c r="A358" t="s">
        <v>12</v>
      </c>
      <c r="B358" t="s">
        <v>9</v>
      </c>
      <c r="C358" t="s">
        <v>2</v>
      </c>
      <c r="D358" t="s">
        <v>26</v>
      </c>
      <c r="E358" s="1">
        <v>2747</v>
      </c>
      <c r="F358" s="1">
        <v>300</v>
      </c>
      <c r="G358" s="1">
        <v>824100</v>
      </c>
      <c r="H358" s="1">
        <v>766413</v>
      </c>
      <c r="I358" s="1">
        <v>79663</v>
      </c>
      <c r="J358" t="s">
        <v>7</v>
      </c>
      <c r="K358">
        <v>2019</v>
      </c>
    </row>
    <row r="359" spans="1:11" hidden="1" x14ac:dyDescent="0.3">
      <c r="A359" t="s">
        <v>17</v>
      </c>
      <c r="B359" t="s">
        <v>40</v>
      </c>
      <c r="C359" t="s">
        <v>11</v>
      </c>
      <c r="D359" t="s">
        <v>26</v>
      </c>
      <c r="E359" s="1">
        <v>1645</v>
      </c>
      <c r="F359" s="1">
        <v>125</v>
      </c>
      <c r="G359" s="1">
        <v>205625</v>
      </c>
      <c r="H359" s="1">
        <v>191231.25</v>
      </c>
      <c r="I359" s="1">
        <v>-6168.75</v>
      </c>
      <c r="J359" t="s">
        <v>0</v>
      </c>
      <c r="K359">
        <v>2019</v>
      </c>
    </row>
    <row r="360" spans="1:11" hidden="1" x14ac:dyDescent="0.3">
      <c r="A360" t="s">
        <v>6</v>
      </c>
      <c r="B360" t="s">
        <v>14</v>
      </c>
      <c r="C360" t="s">
        <v>11</v>
      </c>
      <c r="D360" t="s">
        <v>26</v>
      </c>
      <c r="E360" s="1">
        <v>2876</v>
      </c>
      <c r="F360" s="1">
        <v>350</v>
      </c>
      <c r="G360" s="1">
        <v>1006600</v>
      </c>
      <c r="H360" s="1">
        <v>936138</v>
      </c>
      <c r="I360" s="1">
        <v>188378</v>
      </c>
      <c r="J360" t="s">
        <v>21</v>
      </c>
      <c r="K360">
        <v>2019</v>
      </c>
    </row>
    <row r="361" spans="1:11" hidden="1" x14ac:dyDescent="0.3">
      <c r="A361" t="s">
        <v>17</v>
      </c>
      <c r="B361" t="s">
        <v>41</v>
      </c>
      <c r="C361" t="s">
        <v>11</v>
      </c>
      <c r="D361" t="s">
        <v>26</v>
      </c>
      <c r="E361" s="1">
        <v>994</v>
      </c>
      <c r="F361" s="1">
        <v>125</v>
      </c>
      <c r="G361" s="1">
        <v>124250</v>
      </c>
      <c r="H361" s="1">
        <v>115552.5</v>
      </c>
      <c r="I361" s="1">
        <v>-3727.5</v>
      </c>
      <c r="J361" t="s">
        <v>21</v>
      </c>
      <c r="K361">
        <v>2018</v>
      </c>
    </row>
    <row r="362" spans="1:11" hidden="1" x14ac:dyDescent="0.3">
      <c r="A362" t="s">
        <v>6</v>
      </c>
      <c r="B362" t="s">
        <v>40</v>
      </c>
      <c r="C362" t="s">
        <v>11</v>
      </c>
      <c r="D362" t="s">
        <v>26</v>
      </c>
      <c r="E362" s="1">
        <v>1118</v>
      </c>
      <c r="F362" s="1">
        <v>20</v>
      </c>
      <c r="G362" s="1">
        <v>22360</v>
      </c>
      <c r="H362" s="1">
        <v>20794.8</v>
      </c>
      <c r="I362" s="1">
        <v>9614.7999999999993</v>
      </c>
      <c r="J362" t="s">
        <v>16</v>
      </c>
      <c r="K362">
        <v>2019</v>
      </c>
    </row>
    <row r="363" spans="1:11" hidden="1" x14ac:dyDescent="0.3">
      <c r="A363" t="s">
        <v>12</v>
      </c>
      <c r="B363" t="s">
        <v>42</v>
      </c>
      <c r="C363" t="s">
        <v>11</v>
      </c>
      <c r="D363" t="s">
        <v>26</v>
      </c>
      <c r="E363" s="1">
        <v>1372</v>
      </c>
      <c r="F363" s="1">
        <v>300</v>
      </c>
      <c r="G363" s="1">
        <v>411600</v>
      </c>
      <c r="H363" s="1">
        <v>382788</v>
      </c>
      <c r="I363" s="1">
        <v>39788</v>
      </c>
      <c r="J363" t="s">
        <v>15</v>
      </c>
      <c r="K363">
        <v>2019</v>
      </c>
    </row>
    <row r="364" spans="1:11" hidden="1" x14ac:dyDescent="0.3">
      <c r="A364" t="s">
        <v>6</v>
      </c>
      <c r="B364" t="s">
        <v>40</v>
      </c>
      <c r="C364" t="s">
        <v>8</v>
      </c>
      <c r="D364" t="s">
        <v>26</v>
      </c>
      <c r="E364" s="1">
        <v>488</v>
      </c>
      <c r="F364" s="1">
        <v>7</v>
      </c>
      <c r="G364" s="1">
        <v>3416</v>
      </c>
      <c r="H364" s="1">
        <v>3142.7200000000003</v>
      </c>
      <c r="I364" s="1">
        <v>702.72000000000025</v>
      </c>
      <c r="J364" t="s">
        <v>7</v>
      </c>
      <c r="K364">
        <v>2019</v>
      </c>
    </row>
    <row r="365" spans="1:11" hidden="1" x14ac:dyDescent="0.3">
      <c r="A365" t="s">
        <v>6</v>
      </c>
      <c r="B365" t="s">
        <v>42</v>
      </c>
      <c r="C365" t="s">
        <v>8</v>
      </c>
      <c r="D365" t="s">
        <v>26</v>
      </c>
      <c r="E365" s="1">
        <v>1282</v>
      </c>
      <c r="F365" s="1">
        <v>20</v>
      </c>
      <c r="G365" s="1">
        <v>25640</v>
      </c>
      <c r="H365" s="1">
        <v>23588.799999999999</v>
      </c>
      <c r="I365" s="1">
        <v>10768.8</v>
      </c>
      <c r="J365" t="s">
        <v>25</v>
      </c>
      <c r="K365">
        <v>2019</v>
      </c>
    </row>
    <row r="366" spans="1:11" hidden="1" x14ac:dyDescent="0.3">
      <c r="A366" t="s">
        <v>6</v>
      </c>
      <c r="B366" t="s">
        <v>40</v>
      </c>
      <c r="C366" t="s">
        <v>5</v>
      </c>
      <c r="D366" t="s">
        <v>26</v>
      </c>
      <c r="E366" s="1">
        <v>257</v>
      </c>
      <c r="F366" s="1">
        <v>7</v>
      </c>
      <c r="G366" s="1">
        <v>1799</v>
      </c>
      <c r="H366" s="1">
        <v>1655.08</v>
      </c>
      <c r="I366" s="1">
        <v>370.07999999999993</v>
      </c>
      <c r="J366" t="s">
        <v>0</v>
      </c>
      <c r="K366">
        <v>2019</v>
      </c>
    </row>
    <row r="367" spans="1:11" hidden="1" x14ac:dyDescent="0.3">
      <c r="A367" t="s">
        <v>6</v>
      </c>
      <c r="B367" t="s">
        <v>42</v>
      </c>
      <c r="C367" t="s">
        <v>11</v>
      </c>
      <c r="D367" t="s">
        <v>26</v>
      </c>
      <c r="E367" s="1">
        <v>1282</v>
      </c>
      <c r="F367" s="1">
        <v>20</v>
      </c>
      <c r="G367" s="1">
        <v>25640</v>
      </c>
      <c r="H367" s="1">
        <v>23588.799999999999</v>
      </c>
      <c r="I367" s="1">
        <v>10768.8</v>
      </c>
      <c r="J367" t="s">
        <v>25</v>
      </c>
      <c r="K367">
        <v>2019</v>
      </c>
    </row>
    <row r="368" spans="1:11" hidden="1" x14ac:dyDescent="0.3">
      <c r="A368" t="s">
        <v>17</v>
      </c>
      <c r="B368" t="s">
        <v>9</v>
      </c>
      <c r="C368" t="s">
        <v>23</v>
      </c>
      <c r="D368" t="s">
        <v>26</v>
      </c>
      <c r="E368" s="1">
        <v>1540</v>
      </c>
      <c r="F368" s="1">
        <v>125</v>
      </c>
      <c r="G368" s="1">
        <v>192500</v>
      </c>
      <c r="H368" s="1">
        <v>177100</v>
      </c>
      <c r="I368" s="1">
        <v>-7700</v>
      </c>
      <c r="J368" t="s">
        <v>22</v>
      </c>
      <c r="K368">
        <v>2019</v>
      </c>
    </row>
    <row r="369" spans="1:11" hidden="1" x14ac:dyDescent="0.3">
      <c r="A369" t="s">
        <v>18</v>
      </c>
      <c r="B369" t="s">
        <v>14</v>
      </c>
      <c r="C369" t="s">
        <v>23</v>
      </c>
      <c r="D369" t="s">
        <v>26</v>
      </c>
      <c r="E369" s="1">
        <v>490</v>
      </c>
      <c r="F369" s="1">
        <v>15</v>
      </c>
      <c r="G369" s="1">
        <v>7350</v>
      </c>
      <c r="H369" s="1">
        <v>6762</v>
      </c>
      <c r="I369" s="1">
        <v>1862</v>
      </c>
      <c r="J369" t="s">
        <v>16</v>
      </c>
      <c r="K369">
        <v>2019</v>
      </c>
    </row>
    <row r="370" spans="1:11" hidden="1" x14ac:dyDescent="0.3">
      <c r="A370" t="s">
        <v>6</v>
      </c>
      <c r="B370" t="s">
        <v>9</v>
      </c>
      <c r="C370" t="s">
        <v>23</v>
      </c>
      <c r="D370" t="s">
        <v>26</v>
      </c>
      <c r="E370" s="1">
        <v>1362</v>
      </c>
      <c r="F370" s="1">
        <v>350</v>
      </c>
      <c r="G370" s="1">
        <v>476700</v>
      </c>
      <c r="H370" s="1">
        <v>438564</v>
      </c>
      <c r="I370" s="1">
        <v>84444</v>
      </c>
      <c r="J370" t="s">
        <v>15</v>
      </c>
      <c r="K370">
        <v>2019</v>
      </c>
    </row>
    <row r="371" spans="1:11" hidden="1" x14ac:dyDescent="0.3">
      <c r="A371" t="s">
        <v>18</v>
      </c>
      <c r="B371" t="s">
        <v>14</v>
      </c>
      <c r="C371" t="s">
        <v>8</v>
      </c>
      <c r="D371" t="s">
        <v>26</v>
      </c>
      <c r="E371" s="1">
        <v>2501</v>
      </c>
      <c r="F371" s="1">
        <v>15</v>
      </c>
      <c r="G371" s="1">
        <v>37515</v>
      </c>
      <c r="H371" s="1">
        <v>34513.800000000003</v>
      </c>
      <c r="I371" s="1">
        <v>9503.8000000000029</v>
      </c>
      <c r="J371" t="s">
        <v>13</v>
      </c>
      <c r="K371">
        <v>2019</v>
      </c>
    </row>
    <row r="372" spans="1:11" hidden="1" x14ac:dyDescent="0.3">
      <c r="A372" t="s">
        <v>6</v>
      </c>
      <c r="B372" t="s">
        <v>40</v>
      </c>
      <c r="C372" t="s">
        <v>8</v>
      </c>
      <c r="D372" t="s">
        <v>26</v>
      </c>
      <c r="E372" s="1">
        <v>708</v>
      </c>
      <c r="F372" s="1">
        <v>20</v>
      </c>
      <c r="G372" s="1">
        <v>14160</v>
      </c>
      <c r="H372" s="1">
        <v>13027.2</v>
      </c>
      <c r="I372" s="1">
        <v>5947.2000000000007</v>
      </c>
      <c r="J372" t="s">
        <v>25</v>
      </c>
      <c r="K372">
        <v>2019</v>
      </c>
    </row>
    <row r="373" spans="1:11" hidden="1" x14ac:dyDescent="0.3">
      <c r="A373" t="s">
        <v>6</v>
      </c>
      <c r="B373" t="s">
        <v>41</v>
      </c>
      <c r="C373" t="s">
        <v>8</v>
      </c>
      <c r="D373" t="s">
        <v>26</v>
      </c>
      <c r="E373" s="1">
        <v>645</v>
      </c>
      <c r="F373" s="1">
        <v>20</v>
      </c>
      <c r="G373" s="1">
        <v>12900</v>
      </c>
      <c r="H373" s="1">
        <v>11868</v>
      </c>
      <c r="I373" s="1">
        <v>5418</v>
      </c>
      <c r="J373" t="s">
        <v>19</v>
      </c>
      <c r="K373">
        <v>2019</v>
      </c>
    </row>
    <row r="374" spans="1:11" hidden="1" x14ac:dyDescent="0.3">
      <c r="A374" t="s">
        <v>12</v>
      </c>
      <c r="B374" t="s">
        <v>14</v>
      </c>
      <c r="C374" t="s">
        <v>8</v>
      </c>
      <c r="D374" t="s">
        <v>26</v>
      </c>
      <c r="E374" s="1">
        <v>1562</v>
      </c>
      <c r="F374" s="1">
        <v>300</v>
      </c>
      <c r="G374" s="1">
        <v>468600</v>
      </c>
      <c r="H374" s="1">
        <v>431112</v>
      </c>
      <c r="I374" s="1">
        <v>40612</v>
      </c>
      <c r="J374" t="s">
        <v>22</v>
      </c>
      <c r="K374">
        <v>2019</v>
      </c>
    </row>
    <row r="375" spans="1:11" hidden="1" x14ac:dyDescent="0.3">
      <c r="A375" t="s">
        <v>12</v>
      </c>
      <c r="B375" t="s">
        <v>40</v>
      </c>
      <c r="C375" t="s">
        <v>8</v>
      </c>
      <c r="D375" t="s">
        <v>26</v>
      </c>
      <c r="E375" s="1">
        <v>1283</v>
      </c>
      <c r="F375" s="1">
        <v>300</v>
      </c>
      <c r="G375" s="1">
        <v>384900</v>
      </c>
      <c r="H375" s="1">
        <v>354108</v>
      </c>
      <c r="I375" s="1">
        <v>33358</v>
      </c>
      <c r="J375" t="s">
        <v>21</v>
      </c>
      <c r="K375">
        <v>2018</v>
      </c>
    </row>
    <row r="376" spans="1:11" hidden="1" x14ac:dyDescent="0.3">
      <c r="A376" t="s">
        <v>18</v>
      </c>
      <c r="B376" t="s">
        <v>41</v>
      </c>
      <c r="C376" t="s">
        <v>8</v>
      </c>
      <c r="D376" t="s">
        <v>26</v>
      </c>
      <c r="E376" s="1">
        <v>711</v>
      </c>
      <c r="F376" s="1">
        <v>15</v>
      </c>
      <c r="G376" s="1">
        <v>10665</v>
      </c>
      <c r="H376" s="1">
        <v>9811.7999999999993</v>
      </c>
      <c r="I376" s="1">
        <v>2701.7999999999993</v>
      </c>
      <c r="J376" t="s">
        <v>15</v>
      </c>
      <c r="K376">
        <v>2019</v>
      </c>
    </row>
    <row r="377" spans="1:11" hidden="1" x14ac:dyDescent="0.3">
      <c r="A377" t="s">
        <v>17</v>
      </c>
      <c r="B377" t="s">
        <v>9</v>
      </c>
      <c r="C377" t="s">
        <v>5</v>
      </c>
      <c r="D377" t="s">
        <v>26</v>
      </c>
      <c r="E377" s="1">
        <v>1114</v>
      </c>
      <c r="F377" s="1">
        <v>125</v>
      </c>
      <c r="G377" s="1">
        <v>139250</v>
      </c>
      <c r="H377" s="1">
        <v>128110</v>
      </c>
      <c r="I377" s="1">
        <v>-5570</v>
      </c>
      <c r="J377" t="s">
        <v>13</v>
      </c>
      <c r="K377">
        <v>2019</v>
      </c>
    </row>
    <row r="378" spans="1:11" hidden="1" x14ac:dyDescent="0.3">
      <c r="A378" t="s">
        <v>6</v>
      </c>
      <c r="B378" t="s">
        <v>41</v>
      </c>
      <c r="C378" t="s">
        <v>5</v>
      </c>
      <c r="D378" t="s">
        <v>26</v>
      </c>
      <c r="E378" s="1">
        <v>1259</v>
      </c>
      <c r="F378" s="1">
        <v>7</v>
      </c>
      <c r="G378" s="1">
        <v>8813</v>
      </c>
      <c r="H378" s="1">
        <v>8107.96</v>
      </c>
      <c r="I378" s="1">
        <v>1812.96</v>
      </c>
      <c r="J378" t="s">
        <v>4</v>
      </c>
      <c r="K378">
        <v>2019</v>
      </c>
    </row>
    <row r="379" spans="1:11" hidden="1" x14ac:dyDescent="0.3">
      <c r="A379" t="s">
        <v>6</v>
      </c>
      <c r="B379" t="s">
        <v>41</v>
      </c>
      <c r="C379" t="s">
        <v>5</v>
      </c>
      <c r="D379" t="s">
        <v>26</v>
      </c>
      <c r="E379" s="1">
        <v>1095</v>
      </c>
      <c r="F379" s="1">
        <v>7</v>
      </c>
      <c r="G379" s="1">
        <v>7665</v>
      </c>
      <c r="H379" s="1">
        <v>7051.8</v>
      </c>
      <c r="I379" s="1">
        <v>1576.8000000000002</v>
      </c>
      <c r="J379" t="s">
        <v>0</v>
      </c>
      <c r="K379">
        <v>2019</v>
      </c>
    </row>
    <row r="380" spans="1:11" hidden="1" x14ac:dyDescent="0.3">
      <c r="A380" t="s">
        <v>6</v>
      </c>
      <c r="B380" t="s">
        <v>41</v>
      </c>
      <c r="C380" t="s">
        <v>5</v>
      </c>
      <c r="D380" t="s">
        <v>26</v>
      </c>
      <c r="E380" s="1">
        <v>1366</v>
      </c>
      <c r="F380" s="1">
        <v>20</v>
      </c>
      <c r="G380" s="1">
        <v>27320</v>
      </c>
      <c r="H380" s="1">
        <v>25134.400000000001</v>
      </c>
      <c r="I380" s="1">
        <v>11474.400000000001</v>
      </c>
      <c r="J380" t="s">
        <v>25</v>
      </c>
      <c r="K380">
        <v>2019</v>
      </c>
    </row>
    <row r="381" spans="1:11" hidden="1" x14ac:dyDescent="0.3">
      <c r="A381" t="s">
        <v>12</v>
      </c>
      <c r="B381" t="s">
        <v>9</v>
      </c>
      <c r="C381" t="s">
        <v>5</v>
      </c>
      <c r="D381" t="s">
        <v>26</v>
      </c>
      <c r="E381" s="1">
        <v>2460</v>
      </c>
      <c r="F381" s="1">
        <v>300</v>
      </c>
      <c r="G381" s="1">
        <v>738000</v>
      </c>
      <c r="H381" s="1">
        <v>678960</v>
      </c>
      <c r="I381" s="1">
        <v>63960</v>
      </c>
      <c r="J381" t="s">
        <v>25</v>
      </c>
      <c r="K381">
        <v>2019</v>
      </c>
    </row>
    <row r="382" spans="1:11" hidden="1" x14ac:dyDescent="0.3">
      <c r="A382" t="s">
        <v>6</v>
      </c>
      <c r="B382" t="s">
        <v>42</v>
      </c>
      <c r="C382" t="s">
        <v>5</v>
      </c>
      <c r="D382" t="s">
        <v>26</v>
      </c>
      <c r="E382" s="1">
        <v>678</v>
      </c>
      <c r="F382" s="1">
        <v>7</v>
      </c>
      <c r="G382" s="1">
        <v>4746</v>
      </c>
      <c r="H382" s="1">
        <v>4366.32</v>
      </c>
      <c r="I382" s="1">
        <v>976.31999999999971</v>
      </c>
      <c r="J382" t="s">
        <v>22</v>
      </c>
      <c r="K382">
        <v>2019</v>
      </c>
    </row>
    <row r="383" spans="1:11" hidden="1" x14ac:dyDescent="0.3">
      <c r="A383" t="s">
        <v>6</v>
      </c>
      <c r="B383" t="s">
        <v>41</v>
      </c>
      <c r="C383" t="s">
        <v>5</v>
      </c>
      <c r="D383" t="s">
        <v>26</v>
      </c>
      <c r="E383" s="1">
        <v>1598</v>
      </c>
      <c r="F383" s="1">
        <v>7</v>
      </c>
      <c r="G383" s="1">
        <v>11186</v>
      </c>
      <c r="H383" s="1">
        <v>10291.120000000001</v>
      </c>
      <c r="I383" s="1">
        <v>2301.1200000000008</v>
      </c>
      <c r="J383" t="s">
        <v>22</v>
      </c>
      <c r="K383">
        <v>2019</v>
      </c>
    </row>
    <row r="384" spans="1:11" hidden="1" x14ac:dyDescent="0.3">
      <c r="A384" t="s">
        <v>6</v>
      </c>
      <c r="B384" t="s">
        <v>41</v>
      </c>
      <c r="C384" t="s">
        <v>5</v>
      </c>
      <c r="D384" t="s">
        <v>26</v>
      </c>
      <c r="E384" s="1">
        <v>2409</v>
      </c>
      <c r="F384" s="1">
        <v>7</v>
      </c>
      <c r="G384" s="1">
        <v>16863</v>
      </c>
      <c r="H384" s="1">
        <v>15513.96</v>
      </c>
      <c r="I384" s="1">
        <v>3468.9599999999991</v>
      </c>
      <c r="J384" t="s">
        <v>21</v>
      </c>
      <c r="K384">
        <v>2018</v>
      </c>
    </row>
    <row r="385" spans="1:11" hidden="1" x14ac:dyDescent="0.3">
      <c r="A385" t="s">
        <v>6</v>
      </c>
      <c r="B385" t="s">
        <v>41</v>
      </c>
      <c r="C385" t="s">
        <v>5</v>
      </c>
      <c r="D385" t="s">
        <v>26</v>
      </c>
      <c r="E385" s="1">
        <v>1934</v>
      </c>
      <c r="F385" s="1">
        <v>20</v>
      </c>
      <c r="G385" s="1">
        <v>38680</v>
      </c>
      <c r="H385" s="1">
        <v>35585.599999999999</v>
      </c>
      <c r="I385" s="1">
        <v>16245.599999999999</v>
      </c>
      <c r="J385" t="s">
        <v>21</v>
      </c>
      <c r="K385">
        <v>2019</v>
      </c>
    </row>
    <row r="386" spans="1:11" hidden="1" x14ac:dyDescent="0.3">
      <c r="A386" t="s">
        <v>6</v>
      </c>
      <c r="B386" t="s">
        <v>9</v>
      </c>
      <c r="C386" t="s">
        <v>5</v>
      </c>
      <c r="D386" t="s">
        <v>26</v>
      </c>
      <c r="E386" s="1">
        <v>2993</v>
      </c>
      <c r="F386" s="1">
        <v>20</v>
      </c>
      <c r="G386" s="1">
        <v>59860</v>
      </c>
      <c r="H386" s="1">
        <v>55071.199999999997</v>
      </c>
      <c r="I386" s="1">
        <v>25141.199999999997</v>
      </c>
      <c r="J386" t="s">
        <v>21</v>
      </c>
      <c r="K386">
        <v>2019</v>
      </c>
    </row>
    <row r="387" spans="1:11" hidden="1" x14ac:dyDescent="0.3">
      <c r="A387" t="s">
        <v>6</v>
      </c>
      <c r="B387" t="s">
        <v>41</v>
      </c>
      <c r="C387" t="s">
        <v>5</v>
      </c>
      <c r="D387" t="s">
        <v>26</v>
      </c>
      <c r="E387" s="1">
        <v>2146</v>
      </c>
      <c r="F387" s="1">
        <v>350</v>
      </c>
      <c r="G387" s="1">
        <v>751100</v>
      </c>
      <c r="H387" s="1">
        <v>691012</v>
      </c>
      <c r="I387" s="1">
        <v>133052</v>
      </c>
      <c r="J387" t="s">
        <v>16</v>
      </c>
      <c r="K387">
        <v>2018</v>
      </c>
    </row>
    <row r="388" spans="1:11" hidden="1" x14ac:dyDescent="0.3">
      <c r="A388" t="s">
        <v>6</v>
      </c>
      <c r="B388" t="s">
        <v>9</v>
      </c>
      <c r="C388" t="s">
        <v>5</v>
      </c>
      <c r="D388" t="s">
        <v>26</v>
      </c>
      <c r="E388" s="1">
        <v>1946</v>
      </c>
      <c r="F388" s="1">
        <v>7</v>
      </c>
      <c r="G388" s="1">
        <v>13622</v>
      </c>
      <c r="H388" s="1">
        <v>12532.24</v>
      </c>
      <c r="I388" s="1">
        <v>2802.24</v>
      </c>
      <c r="J388" t="s">
        <v>15</v>
      </c>
      <c r="K388">
        <v>2018</v>
      </c>
    </row>
    <row r="389" spans="1:11" hidden="1" x14ac:dyDescent="0.3">
      <c r="A389" t="s">
        <v>6</v>
      </c>
      <c r="B389" t="s">
        <v>9</v>
      </c>
      <c r="C389" t="s">
        <v>5</v>
      </c>
      <c r="D389" t="s">
        <v>26</v>
      </c>
      <c r="E389" s="1">
        <v>1362</v>
      </c>
      <c r="F389" s="1">
        <v>350</v>
      </c>
      <c r="G389" s="1">
        <v>476700</v>
      </c>
      <c r="H389" s="1">
        <v>438564</v>
      </c>
      <c r="I389" s="1">
        <v>84444</v>
      </c>
      <c r="J389" t="s">
        <v>15</v>
      </c>
      <c r="K389">
        <v>2019</v>
      </c>
    </row>
    <row r="390" spans="1:11" x14ac:dyDescent="0.3">
      <c r="A390" t="s">
        <v>3</v>
      </c>
      <c r="B390" t="s">
        <v>40</v>
      </c>
      <c r="C390" t="s">
        <v>20</v>
      </c>
      <c r="D390" t="s">
        <v>26</v>
      </c>
      <c r="E390" s="1">
        <v>598</v>
      </c>
      <c r="F390" s="1">
        <v>12</v>
      </c>
      <c r="G390" s="1">
        <v>7176</v>
      </c>
      <c r="H390" s="1">
        <v>6601.92</v>
      </c>
      <c r="I390" s="1">
        <v>4807.92</v>
      </c>
      <c r="J390" t="s">
        <v>13</v>
      </c>
      <c r="K390">
        <v>2019</v>
      </c>
    </row>
    <row r="391" spans="1:11" hidden="1" x14ac:dyDescent="0.3">
      <c r="A391" t="s">
        <v>6</v>
      </c>
      <c r="B391" t="s">
        <v>42</v>
      </c>
      <c r="C391" t="s">
        <v>20</v>
      </c>
      <c r="D391" t="s">
        <v>26</v>
      </c>
      <c r="E391" s="1">
        <v>2907</v>
      </c>
      <c r="F391" s="1">
        <v>7</v>
      </c>
      <c r="G391" s="1">
        <v>20349</v>
      </c>
      <c r="H391" s="1">
        <v>18721.080000000002</v>
      </c>
      <c r="I391" s="1">
        <v>4186.0800000000017</v>
      </c>
      <c r="J391" t="s">
        <v>25</v>
      </c>
      <c r="K391">
        <v>2019</v>
      </c>
    </row>
    <row r="392" spans="1:11" hidden="1" x14ac:dyDescent="0.3">
      <c r="A392" t="s">
        <v>6</v>
      </c>
      <c r="B392" t="s">
        <v>41</v>
      </c>
      <c r="C392" t="s">
        <v>20</v>
      </c>
      <c r="D392" t="s">
        <v>26</v>
      </c>
      <c r="E392" s="1">
        <v>2338</v>
      </c>
      <c r="F392" s="1">
        <v>7</v>
      </c>
      <c r="G392" s="1">
        <v>16366</v>
      </c>
      <c r="H392" s="1">
        <v>15056.72</v>
      </c>
      <c r="I392" s="1">
        <v>3366.7199999999993</v>
      </c>
      <c r="J392" t="s">
        <v>25</v>
      </c>
      <c r="K392">
        <v>2019</v>
      </c>
    </row>
    <row r="393" spans="1:11" hidden="1" x14ac:dyDescent="0.3">
      <c r="A393" t="s">
        <v>12</v>
      </c>
      <c r="B393" t="s">
        <v>14</v>
      </c>
      <c r="C393" t="s">
        <v>20</v>
      </c>
      <c r="D393" t="s">
        <v>26</v>
      </c>
      <c r="E393" s="1">
        <v>386</v>
      </c>
      <c r="F393" s="1">
        <v>300</v>
      </c>
      <c r="G393" s="1">
        <v>115800</v>
      </c>
      <c r="H393" s="1">
        <v>106536</v>
      </c>
      <c r="I393" s="1">
        <v>10036</v>
      </c>
      <c r="J393" t="s">
        <v>16</v>
      </c>
      <c r="K393">
        <v>2018</v>
      </c>
    </row>
    <row r="394" spans="1:11" hidden="1" x14ac:dyDescent="0.3">
      <c r="A394" t="s">
        <v>12</v>
      </c>
      <c r="B394" t="s">
        <v>9</v>
      </c>
      <c r="C394" t="s">
        <v>20</v>
      </c>
      <c r="D394" t="s">
        <v>26</v>
      </c>
      <c r="E394" s="1">
        <v>635</v>
      </c>
      <c r="F394" s="1">
        <v>300</v>
      </c>
      <c r="G394" s="1">
        <v>190500</v>
      </c>
      <c r="H394" s="1">
        <v>175260</v>
      </c>
      <c r="I394" s="1">
        <v>16510</v>
      </c>
      <c r="J394" t="s">
        <v>15</v>
      </c>
      <c r="K394">
        <v>2019</v>
      </c>
    </row>
    <row r="395" spans="1:11" hidden="1" x14ac:dyDescent="0.3">
      <c r="A395" t="s">
        <v>6</v>
      </c>
      <c r="B395" t="s">
        <v>14</v>
      </c>
      <c r="C395" t="s">
        <v>2</v>
      </c>
      <c r="D395" t="s">
        <v>26</v>
      </c>
      <c r="E395" s="1">
        <v>574.5</v>
      </c>
      <c r="F395" s="1">
        <v>350</v>
      </c>
      <c r="G395" s="1">
        <v>201075</v>
      </c>
      <c r="H395" s="1">
        <v>184989</v>
      </c>
      <c r="I395" s="1">
        <v>35619</v>
      </c>
      <c r="J395" t="s">
        <v>4</v>
      </c>
      <c r="K395">
        <v>2019</v>
      </c>
    </row>
    <row r="396" spans="1:11" hidden="1" x14ac:dyDescent="0.3">
      <c r="A396" t="s">
        <v>6</v>
      </c>
      <c r="B396" t="s">
        <v>41</v>
      </c>
      <c r="C396" t="s">
        <v>2</v>
      </c>
      <c r="D396" t="s">
        <v>26</v>
      </c>
      <c r="E396" s="1">
        <v>2338</v>
      </c>
      <c r="F396" s="1">
        <v>7</v>
      </c>
      <c r="G396" s="1">
        <v>16366</v>
      </c>
      <c r="H396" s="1">
        <v>15056.72</v>
      </c>
      <c r="I396" s="1">
        <v>3366.7199999999993</v>
      </c>
      <c r="J396" t="s">
        <v>25</v>
      </c>
      <c r="K396">
        <v>2019</v>
      </c>
    </row>
    <row r="397" spans="1:11" hidden="1" x14ac:dyDescent="0.3">
      <c r="A397" t="s">
        <v>6</v>
      </c>
      <c r="B397" t="s">
        <v>14</v>
      </c>
      <c r="C397" t="s">
        <v>2</v>
      </c>
      <c r="D397" t="s">
        <v>26</v>
      </c>
      <c r="E397" s="1">
        <v>381</v>
      </c>
      <c r="F397" s="1">
        <v>350</v>
      </c>
      <c r="G397" s="1">
        <v>133350</v>
      </c>
      <c r="H397" s="1">
        <v>122682</v>
      </c>
      <c r="I397" s="1">
        <v>23622</v>
      </c>
      <c r="J397" t="s">
        <v>22</v>
      </c>
      <c r="K397">
        <v>2019</v>
      </c>
    </row>
    <row r="398" spans="1:11" hidden="1" x14ac:dyDescent="0.3">
      <c r="A398" t="s">
        <v>6</v>
      </c>
      <c r="B398" t="s">
        <v>41</v>
      </c>
      <c r="C398" t="s">
        <v>2</v>
      </c>
      <c r="D398" t="s">
        <v>26</v>
      </c>
      <c r="E398" s="1">
        <v>422</v>
      </c>
      <c r="F398" s="1">
        <v>350</v>
      </c>
      <c r="G398" s="1">
        <v>147700</v>
      </c>
      <c r="H398" s="1">
        <v>135884</v>
      </c>
      <c r="I398" s="1">
        <v>26164</v>
      </c>
      <c r="J398" t="s">
        <v>22</v>
      </c>
      <c r="K398">
        <v>2019</v>
      </c>
    </row>
    <row r="399" spans="1:11" hidden="1" x14ac:dyDescent="0.3">
      <c r="A399" t="s">
        <v>12</v>
      </c>
      <c r="B399" t="s">
        <v>40</v>
      </c>
      <c r="C399" t="s">
        <v>2</v>
      </c>
      <c r="D399" t="s">
        <v>26</v>
      </c>
      <c r="E399" s="1">
        <v>2134</v>
      </c>
      <c r="F399" s="1">
        <v>300</v>
      </c>
      <c r="G399" s="1">
        <v>640200</v>
      </c>
      <c r="H399" s="1">
        <v>588984</v>
      </c>
      <c r="I399" s="1">
        <v>55484</v>
      </c>
      <c r="J399" t="s">
        <v>21</v>
      </c>
      <c r="K399">
        <v>2019</v>
      </c>
    </row>
    <row r="400" spans="1:11" hidden="1" x14ac:dyDescent="0.3">
      <c r="A400" t="s">
        <v>12</v>
      </c>
      <c r="B400" t="s">
        <v>42</v>
      </c>
      <c r="C400" t="s">
        <v>2</v>
      </c>
      <c r="D400" t="s">
        <v>26</v>
      </c>
      <c r="E400" s="1">
        <v>808</v>
      </c>
      <c r="F400" s="1">
        <v>300</v>
      </c>
      <c r="G400" s="1">
        <v>242400</v>
      </c>
      <c r="H400" s="1">
        <v>223008</v>
      </c>
      <c r="I400" s="1">
        <v>21008</v>
      </c>
      <c r="J400" t="s">
        <v>15</v>
      </c>
      <c r="K400">
        <v>2018</v>
      </c>
    </row>
    <row r="401" spans="1:11" hidden="1" x14ac:dyDescent="0.3">
      <c r="A401" t="s">
        <v>6</v>
      </c>
      <c r="B401" t="s">
        <v>40</v>
      </c>
      <c r="C401" t="s">
        <v>11</v>
      </c>
      <c r="D401" t="s">
        <v>26</v>
      </c>
      <c r="E401" s="1">
        <v>708</v>
      </c>
      <c r="F401" s="1">
        <v>20</v>
      </c>
      <c r="G401" s="1">
        <v>14160</v>
      </c>
      <c r="H401" s="1">
        <v>13027.2</v>
      </c>
      <c r="I401" s="1">
        <v>5947.2000000000007</v>
      </c>
      <c r="J401" t="s">
        <v>25</v>
      </c>
      <c r="K401">
        <v>2019</v>
      </c>
    </row>
    <row r="402" spans="1:11" hidden="1" x14ac:dyDescent="0.3">
      <c r="A402" t="s">
        <v>6</v>
      </c>
      <c r="B402" t="s">
        <v>42</v>
      </c>
      <c r="C402" t="s">
        <v>11</v>
      </c>
      <c r="D402" t="s">
        <v>26</v>
      </c>
      <c r="E402" s="1">
        <v>2907</v>
      </c>
      <c r="F402" s="1">
        <v>7</v>
      </c>
      <c r="G402" s="1">
        <v>20349</v>
      </c>
      <c r="H402" s="1">
        <v>18721.080000000002</v>
      </c>
      <c r="I402" s="1">
        <v>4186.0800000000017</v>
      </c>
      <c r="J402" t="s">
        <v>25</v>
      </c>
      <c r="K402">
        <v>2019</v>
      </c>
    </row>
    <row r="403" spans="1:11" hidden="1" x14ac:dyDescent="0.3">
      <c r="A403" t="s">
        <v>6</v>
      </c>
      <c r="B403" t="s">
        <v>41</v>
      </c>
      <c r="C403" t="s">
        <v>11</v>
      </c>
      <c r="D403" t="s">
        <v>26</v>
      </c>
      <c r="E403" s="1">
        <v>1366</v>
      </c>
      <c r="F403" s="1">
        <v>20</v>
      </c>
      <c r="G403" s="1">
        <v>27320</v>
      </c>
      <c r="H403" s="1">
        <v>25134.400000000001</v>
      </c>
      <c r="I403" s="1">
        <v>11474.400000000001</v>
      </c>
      <c r="J403" t="s">
        <v>25</v>
      </c>
      <c r="K403">
        <v>2019</v>
      </c>
    </row>
    <row r="404" spans="1:11" hidden="1" x14ac:dyDescent="0.3">
      <c r="A404" t="s">
        <v>12</v>
      </c>
      <c r="B404" t="s">
        <v>9</v>
      </c>
      <c r="C404" t="s">
        <v>11</v>
      </c>
      <c r="D404" t="s">
        <v>26</v>
      </c>
      <c r="E404" s="1">
        <v>2460</v>
      </c>
      <c r="F404" s="1">
        <v>300</v>
      </c>
      <c r="G404" s="1">
        <v>738000</v>
      </c>
      <c r="H404" s="1">
        <v>678960</v>
      </c>
      <c r="I404" s="1">
        <v>63960</v>
      </c>
      <c r="J404" t="s">
        <v>25</v>
      </c>
      <c r="K404">
        <v>2019</v>
      </c>
    </row>
    <row r="405" spans="1:11" hidden="1" x14ac:dyDescent="0.3">
      <c r="A405" t="s">
        <v>6</v>
      </c>
      <c r="B405" t="s">
        <v>41</v>
      </c>
      <c r="C405" t="s">
        <v>11</v>
      </c>
      <c r="D405" t="s">
        <v>26</v>
      </c>
      <c r="E405" s="1">
        <v>1520</v>
      </c>
      <c r="F405" s="1">
        <v>20</v>
      </c>
      <c r="G405" s="1">
        <v>30400</v>
      </c>
      <c r="H405" s="1">
        <v>27968</v>
      </c>
      <c r="I405" s="1">
        <v>12768</v>
      </c>
      <c r="J405" t="s">
        <v>16</v>
      </c>
      <c r="K405">
        <v>2019</v>
      </c>
    </row>
    <row r="406" spans="1:11" hidden="1" x14ac:dyDescent="0.3">
      <c r="A406" t="s">
        <v>18</v>
      </c>
      <c r="B406" t="s">
        <v>41</v>
      </c>
      <c r="C406" t="s">
        <v>11</v>
      </c>
      <c r="D406" t="s">
        <v>26</v>
      </c>
      <c r="E406" s="1">
        <v>711</v>
      </c>
      <c r="F406" s="1">
        <v>15</v>
      </c>
      <c r="G406" s="1">
        <v>10665</v>
      </c>
      <c r="H406" s="1">
        <v>9811.7999999999993</v>
      </c>
      <c r="I406" s="1">
        <v>2701.7999999999993</v>
      </c>
      <c r="J406" t="s">
        <v>15</v>
      </c>
      <c r="K406">
        <v>2019</v>
      </c>
    </row>
    <row r="407" spans="1:11" hidden="1" x14ac:dyDescent="0.3">
      <c r="A407" t="s">
        <v>3</v>
      </c>
      <c r="B407" t="s">
        <v>9</v>
      </c>
      <c r="C407" t="s">
        <v>11</v>
      </c>
      <c r="D407" t="s">
        <v>26</v>
      </c>
      <c r="E407" s="1">
        <v>1375</v>
      </c>
      <c r="F407" s="1">
        <v>12</v>
      </c>
      <c r="G407" s="1">
        <v>16500</v>
      </c>
      <c r="H407" s="1">
        <v>15180</v>
      </c>
      <c r="I407" s="1">
        <v>11055</v>
      </c>
      <c r="J407" t="s">
        <v>15</v>
      </c>
      <c r="K407">
        <v>2018</v>
      </c>
    </row>
    <row r="408" spans="1:11" hidden="1" x14ac:dyDescent="0.3">
      <c r="A408" t="s">
        <v>12</v>
      </c>
      <c r="B408" t="s">
        <v>9</v>
      </c>
      <c r="C408" t="s">
        <v>11</v>
      </c>
      <c r="D408" t="s">
        <v>26</v>
      </c>
      <c r="E408" s="1">
        <v>635</v>
      </c>
      <c r="F408" s="1">
        <v>300</v>
      </c>
      <c r="G408" s="1">
        <v>190500</v>
      </c>
      <c r="H408" s="1">
        <v>175260</v>
      </c>
      <c r="I408" s="1">
        <v>16510</v>
      </c>
      <c r="J408" t="s">
        <v>15</v>
      </c>
      <c r="K408">
        <v>2019</v>
      </c>
    </row>
    <row r="409" spans="1:11" hidden="1" x14ac:dyDescent="0.3">
      <c r="A409" t="s">
        <v>6</v>
      </c>
      <c r="B409" t="s">
        <v>42</v>
      </c>
      <c r="C409" t="s">
        <v>2</v>
      </c>
      <c r="D409" t="s">
        <v>26</v>
      </c>
      <c r="E409" s="1">
        <v>436.5</v>
      </c>
      <c r="F409" s="1">
        <v>20</v>
      </c>
      <c r="G409" s="1">
        <v>8730</v>
      </c>
      <c r="H409" s="1">
        <v>8031.5999999999995</v>
      </c>
      <c r="I409" s="1">
        <v>3666.5999999999995</v>
      </c>
      <c r="J409" t="s">
        <v>19</v>
      </c>
      <c r="K409">
        <v>2019</v>
      </c>
    </row>
    <row r="410" spans="1:11" hidden="1" x14ac:dyDescent="0.3">
      <c r="A410" t="s">
        <v>12</v>
      </c>
      <c r="B410" t="s">
        <v>40</v>
      </c>
      <c r="C410" t="s">
        <v>23</v>
      </c>
      <c r="D410" t="s">
        <v>26</v>
      </c>
      <c r="E410" s="1">
        <v>1094</v>
      </c>
      <c r="F410" s="1">
        <v>300</v>
      </c>
      <c r="G410" s="1">
        <v>328200</v>
      </c>
      <c r="H410" s="1">
        <v>298662</v>
      </c>
      <c r="I410" s="1">
        <v>25162</v>
      </c>
      <c r="J410" t="s">
        <v>25</v>
      </c>
      <c r="K410">
        <v>2019</v>
      </c>
    </row>
    <row r="411" spans="1:11" hidden="1" x14ac:dyDescent="0.3">
      <c r="A411" t="s">
        <v>3</v>
      </c>
      <c r="B411" t="s">
        <v>9</v>
      </c>
      <c r="C411" t="s">
        <v>23</v>
      </c>
      <c r="D411" t="s">
        <v>26</v>
      </c>
      <c r="E411" s="1">
        <v>367</v>
      </c>
      <c r="F411" s="1">
        <v>12</v>
      </c>
      <c r="G411" s="1">
        <v>4404</v>
      </c>
      <c r="H411" s="1">
        <v>4007.64</v>
      </c>
      <c r="I411" s="1">
        <v>2906.64</v>
      </c>
      <c r="J411" t="s">
        <v>10</v>
      </c>
      <c r="K411">
        <v>2018</v>
      </c>
    </row>
    <row r="412" spans="1:11" hidden="1" x14ac:dyDescent="0.3">
      <c r="A412" t="s">
        <v>12</v>
      </c>
      <c r="B412" t="s">
        <v>40</v>
      </c>
      <c r="C412" t="s">
        <v>8</v>
      </c>
      <c r="D412" t="s">
        <v>26</v>
      </c>
      <c r="E412" s="1">
        <v>3802.5</v>
      </c>
      <c r="F412" s="1">
        <v>300</v>
      </c>
      <c r="G412" s="1">
        <v>1140750</v>
      </c>
      <c r="H412" s="1">
        <v>1038082.5</v>
      </c>
      <c r="I412" s="1">
        <v>87457.5</v>
      </c>
      <c r="J412" t="s">
        <v>4</v>
      </c>
      <c r="K412">
        <v>2019</v>
      </c>
    </row>
    <row r="413" spans="1:11" hidden="1" x14ac:dyDescent="0.3">
      <c r="A413" t="s">
        <v>6</v>
      </c>
      <c r="B413" t="s">
        <v>14</v>
      </c>
      <c r="C413" t="s">
        <v>8</v>
      </c>
      <c r="D413" t="s">
        <v>26</v>
      </c>
      <c r="E413" s="1">
        <v>1666</v>
      </c>
      <c r="F413" s="1">
        <v>350</v>
      </c>
      <c r="G413" s="1">
        <v>583100</v>
      </c>
      <c r="H413" s="1">
        <v>530621</v>
      </c>
      <c r="I413" s="1">
        <v>97461</v>
      </c>
      <c r="J413" t="s">
        <v>0</v>
      </c>
      <c r="K413">
        <v>2019</v>
      </c>
    </row>
    <row r="414" spans="1:11" hidden="1" x14ac:dyDescent="0.3">
      <c r="A414" t="s">
        <v>12</v>
      </c>
      <c r="B414" t="s">
        <v>14</v>
      </c>
      <c r="C414" t="s">
        <v>8</v>
      </c>
      <c r="D414" t="s">
        <v>26</v>
      </c>
      <c r="E414" s="1">
        <v>322</v>
      </c>
      <c r="F414" s="1">
        <v>300</v>
      </c>
      <c r="G414" s="1">
        <v>96600</v>
      </c>
      <c r="H414" s="1">
        <v>87906</v>
      </c>
      <c r="I414" s="1">
        <v>7406</v>
      </c>
      <c r="J414" t="s">
        <v>21</v>
      </c>
      <c r="K414">
        <v>2018</v>
      </c>
    </row>
    <row r="415" spans="1:11" x14ac:dyDescent="0.3">
      <c r="A415" t="s">
        <v>3</v>
      </c>
      <c r="B415" t="s">
        <v>40</v>
      </c>
      <c r="C415" t="s">
        <v>8</v>
      </c>
      <c r="D415" t="s">
        <v>26</v>
      </c>
      <c r="E415" s="1">
        <v>2321</v>
      </c>
      <c r="F415" s="1">
        <v>12</v>
      </c>
      <c r="G415" s="1">
        <v>27852</v>
      </c>
      <c r="H415" s="1">
        <v>25345.32</v>
      </c>
      <c r="I415" s="1">
        <v>18382.32</v>
      </c>
      <c r="J415" t="s">
        <v>16</v>
      </c>
      <c r="K415">
        <v>2019</v>
      </c>
    </row>
    <row r="416" spans="1:11" hidden="1" x14ac:dyDescent="0.3">
      <c r="A416" t="s">
        <v>17</v>
      </c>
      <c r="B416" t="s">
        <v>14</v>
      </c>
      <c r="C416" t="s">
        <v>8</v>
      </c>
      <c r="D416" t="s">
        <v>26</v>
      </c>
      <c r="E416" s="1">
        <v>1857</v>
      </c>
      <c r="F416" s="1">
        <v>125</v>
      </c>
      <c r="G416" s="1">
        <v>232125</v>
      </c>
      <c r="H416" s="1">
        <v>211233.75</v>
      </c>
      <c r="I416" s="1">
        <v>-11606.25</v>
      </c>
      <c r="J416" t="s">
        <v>16</v>
      </c>
      <c r="K416">
        <v>2018</v>
      </c>
    </row>
    <row r="417" spans="1:11" hidden="1" x14ac:dyDescent="0.3">
      <c r="A417" t="s">
        <v>6</v>
      </c>
      <c r="B417" t="s">
        <v>40</v>
      </c>
      <c r="C417" t="s">
        <v>8</v>
      </c>
      <c r="D417" t="s">
        <v>26</v>
      </c>
      <c r="E417" s="1">
        <v>1611</v>
      </c>
      <c r="F417" s="1">
        <v>7</v>
      </c>
      <c r="G417" s="1">
        <v>11277</v>
      </c>
      <c r="H417" s="1">
        <v>10262.07</v>
      </c>
      <c r="I417" s="1">
        <v>2207.0699999999997</v>
      </c>
      <c r="J417" t="s">
        <v>15</v>
      </c>
      <c r="K417">
        <v>2018</v>
      </c>
    </row>
    <row r="418" spans="1:11" hidden="1" x14ac:dyDescent="0.3">
      <c r="A418" t="s">
        <v>17</v>
      </c>
      <c r="B418" t="s">
        <v>42</v>
      </c>
      <c r="C418" t="s">
        <v>8</v>
      </c>
      <c r="D418" t="s">
        <v>26</v>
      </c>
      <c r="E418" s="1">
        <v>2797</v>
      </c>
      <c r="F418" s="1">
        <v>125</v>
      </c>
      <c r="G418" s="1">
        <v>349625</v>
      </c>
      <c r="H418" s="1">
        <v>318158.75</v>
      </c>
      <c r="I418" s="1">
        <v>-17481.25</v>
      </c>
      <c r="J418" t="s">
        <v>15</v>
      </c>
      <c r="K418">
        <v>2019</v>
      </c>
    </row>
    <row r="419" spans="1:11" hidden="1" x14ac:dyDescent="0.3">
      <c r="A419" t="s">
        <v>12</v>
      </c>
      <c r="B419" t="s">
        <v>41</v>
      </c>
      <c r="C419" t="s">
        <v>8</v>
      </c>
      <c r="D419" t="s">
        <v>26</v>
      </c>
      <c r="E419" s="1">
        <v>334</v>
      </c>
      <c r="F419" s="1">
        <v>300</v>
      </c>
      <c r="G419" s="1">
        <v>100200</v>
      </c>
      <c r="H419" s="1">
        <v>91182</v>
      </c>
      <c r="I419" s="1">
        <v>7682</v>
      </c>
      <c r="J419" t="s">
        <v>15</v>
      </c>
      <c r="K419">
        <v>2018</v>
      </c>
    </row>
    <row r="420" spans="1:11" hidden="1" x14ac:dyDescent="0.3">
      <c r="A420" t="s">
        <v>12</v>
      </c>
      <c r="B420" t="s">
        <v>9</v>
      </c>
      <c r="C420" t="s">
        <v>5</v>
      </c>
      <c r="D420" t="s">
        <v>26</v>
      </c>
      <c r="E420" s="1">
        <v>2565</v>
      </c>
      <c r="F420" s="1">
        <v>300</v>
      </c>
      <c r="G420" s="1">
        <v>769500</v>
      </c>
      <c r="H420" s="1">
        <v>700245</v>
      </c>
      <c r="I420" s="1">
        <v>58995</v>
      </c>
      <c r="J420" t="s">
        <v>24</v>
      </c>
      <c r="K420">
        <v>2019</v>
      </c>
    </row>
    <row r="421" spans="1:11" hidden="1" x14ac:dyDescent="0.3">
      <c r="A421" t="s">
        <v>6</v>
      </c>
      <c r="B421" t="s">
        <v>9</v>
      </c>
      <c r="C421" t="s">
        <v>5</v>
      </c>
      <c r="D421" t="s">
        <v>26</v>
      </c>
      <c r="E421" s="1">
        <v>2417</v>
      </c>
      <c r="F421" s="1">
        <v>350</v>
      </c>
      <c r="G421" s="1">
        <v>845950</v>
      </c>
      <c r="H421" s="1">
        <v>769814.5</v>
      </c>
      <c r="I421" s="1">
        <v>141394.5</v>
      </c>
      <c r="J421" t="s">
        <v>24</v>
      </c>
      <c r="K421">
        <v>2019</v>
      </c>
    </row>
    <row r="422" spans="1:11" hidden="1" x14ac:dyDescent="0.3">
      <c r="A422" t="s">
        <v>18</v>
      </c>
      <c r="B422" t="s">
        <v>42</v>
      </c>
      <c r="C422" t="s">
        <v>5</v>
      </c>
      <c r="D422" t="s">
        <v>26</v>
      </c>
      <c r="E422" s="1">
        <v>3675</v>
      </c>
      <c r="F422" s="1">
        <v>15</v>
      </c>
      <c r="G422" s="1">
        <v>55125</v>
      </c>
      <c r="H422" s="1">
        <v>50163.75</v>
      </c>
      <c r="I422" s="1">
        <v>13413.75</v>
      </c>
      <c r="J422" t="s">
        <v>4</v>
      </c>
      <c r="K422">
        <v>2019</v>
      </c>
    </row>
    <row r="423" spans="1:11" hidden="1" x14ac:dyDescent="0.3">
      <c r="A423" t="s">
        <v>12</v>
      </c>
      <c r="B423" t="s">
        <v>40</v>
      </c>
      <c r="C423" t="s">
        <v>5</v>
      </c>
      <c r="D423" t="s">
        <v>26</v>
      </c>
      <c r="E423" s="1">
        <v>1094</v>
      </c>
      <c r="F423" s="1">
        <v>300</v>
      </c>
      <c r="G423" s="1">
        <v>328200</v>
      </c>
      <c r="H423" s="1">
        <v>298662</v>
      </c>
      <c r="I423" s="1">
        <v>25162</v>
      </c>
      <c r="J423" t="s">
        <v>25</v>
      </c>
      <c r="K423">
        <v>2019</v>
      </c>
    </row>
    <row r="424" spans="1:11" hidden="1" x14ac:dyDescent="0.3">
      <c r="A424" t="s">
        <v>18</v>
      </c>
      <c r="B424" t="s">
        <v>14</v>
      </c>
      <c r="C424" t="s">
        <v>5</v>
      </c>
      <c r="D424" t="s">
        <v>26</v>
      </c>
      <c r="E424" s="1">
        <v>1227</v>
      </c>
      <c r="F424" s="1">
        <v>15</v>
      </c>
      <c r="G424" s="1">
        <v>18405</v>
      </c>
      <c r="H424" s="1">
        <v>16748.55</v>
      </c>
      <c r="I424" s="1">
        <v>4478.5499999999993</v>
      </c>
      <c r="J424" t="s">
        <v>10</v>
      </c>
      <c r="K424">
        <v>2019</v>
      </c>
    </row>
    <row r="425" spans="1:11" hidden="1" x14ac:dyDescent="0.3">
      <c r="A425" t="s">
        <v>3</v>
      </c>
      <c r="B425" t="s">
        <v>9</v>
      </c>
      <c r="C425" t="s">
        <v>5</v>
      </c>
      <c r="D425" t="s">
        <v>26</v>
      </c>
      <c r="E425" s="1">
        <v>367</v>
      </c>
      <c r="F425" s="1">
        <v>12</v>
      </c>
      <c r="G425" s="1">
        <v>4404</v>
      </c>
      <c r="H425" s="1">
        <v>4007.64</v>
      </c>
      <c r="I425" s="1">
        <v>2906.64</v>
      </c>
      <c r="J425" t="s">
        <v>10</v>
      </c>
      <c r="K425">
        <v>2018</v>
      </c>
    </row>
    <row r="426" spans="1:11" hidden="1" x14ac:dyDescent="0.3">
      <c r="A426" t="s">
        <v>12</v>
      </c>
      <c r="B426" t="s">
        <v>14</v>
      </c>
      <c r="C426" t="s">
        <v>5</v>
      </c>
      <c r="D426" t="s">
        <v>26</v>
      </c>
      <c r="E426" s="1">
        <v>1324</v>
      </c>
      <c r="F426" s="1">
        <v>300</v>
      </c>
      <c r="G426" s="1">
        <v>397200</v>
      </c>
      <c r="H426" s="1">
        <v>361452</v>
      </c>
      <c r="I426" s="1">
        <v>30452</v>
      </c>
      <c r="J426" t="s">
        <v>16</v>
      </c>
      <c r="K426">
        <v>2019</v>
      </c>
    </row>
    <row r="427" spans="1:11" hidden="1" x14ac:dyDescent="0.3">
      <c r="A427" t="s">
        <v>3</v>
      </c>
      <c r="B427" t="s">
        <v>41</v>
      </c>
      <c r="C427" t="s">
        <v>5</v>
      </c>
      <c r="D427" t="s">
        <v>26</v>
      </c>
      <c r="E427" s="1">
        <v>1775</v>
      </c>
      <c r="F427" s="1">
        <v>12</v>
      </c>
      <c r="G427" s="1">
        <v>21300</v>
      </c>
      <c r="H427" s="1">
        <v>19383</v>
      </c>
      <c r="I427" s="1">
        <v>14058</v>
      </c>
      <c r="J427" t="s">
        <v>16</v>
      </c>
      <c r="K427">
        <v>2018</v>
      </c>
    </row>
    <row r="428" spans="1:11" hidden="1" x14ac:dyDescent="0.3">
      <c r="A428" t="s">
        <v>17</v>
      </c>
      <c r="B428" t="s">
        <v>42</v>
      </c>
      <c r="C428" t="s">
        <v>5</v>
      </c>
      <c r="D428" t="s">
        <v>26</v>
      </c>
      <c r="E428" s="1">
        <v>2797</v>
      </c>
      <c r="F428" s="1">
        <v>125</v>
      </c>
      <c r="G428" s="1">
        <v>349625</v>
      </c>
      <c r="H428" s="1">
        <v>318158.75</v>
      </c>
      <c r="I428" s="1">
        <v>-17481.25</v>
      </c>
      <c r="J428" t="s">
        <v>15</v>
      </c>
      <c r="K428">
        <v>2019</v>
      </c>
    </row>
    <row r="429" spans="1:11" hidden="1" x14ac:dyDescent="0.3">
      <c r="A429" t="s">
        <v>18</v>
      </c>
      <c r="B429" t="s">
        <v>9</v>
      </c>
      <c r="C429" t="s">
        <v>20</v>
      </c>
      <c r="D429" t="s">
        <v>26</v>
      </c>
      <c r="E429" s="1">
        <v>245</v>
      </c>
      <c r="F429" s="1">
        <v>15</v>
      </c>
      <c r="G429" s="1">
        <v>3675</v>
      </c>
      <c r="H429" s="1">
        <v>3344.25</v>
      </c>
      <c r="I429" s="1">
        <v>894.25</v>
      </c>
      <c r="J429" t="s">
        <v>0</v>
      </c>
      <c r="K429">
        <v>2019</v>
      </c>
    </row>
    <row r="430" spans="1:11" hidden="1" x14ac:dyDescent="0.3">
      <c r="A430" t="s">
        <v>12</v>
      </c>
      <c r="B430" t="s">
        <v>40</v>
      </c>
      <c r="C430" t="s">
        <v>20</v>
      </c>
      <c r="D430" t="s">
        <v>26</v>
      </c>
      <c r="E430" s="1">
        <v>3793.5</v>
      </c>
      <c r="F430" s="1">
        <v>300</v>
      </c>
      <c r="G430" s="1">
        <v>1138050</v>
      </c>
      <c r="H430" s="1">
        <v>1035625.5</v>
      </c>
      <c r="I430" s="1">
        <v>87250.5</v>
      </c>
      <c r="J430" t="s">
        <v>19</v>
      </c>
      <c r="K430">
        <v>2019</v>
      </c>
    </row>
    <row r="431" spans="1:11" hidden="1" x14ac:dyDescent="0.3">
      <c r="A431" t="s">
        <v>6</v>
      </c>
      <c r="B431" t="s">
        <v>41</v>
      </c>
      <c r="C431" t="s">
        <v>20</v>
      </c>
      <c r="D431" t="s">
        <v>26</v>
      </c>
      <c r="E431" s="1">
        <v>1307</v>
      </c>
      <c r="F431" s="1">
        <v>350</v>
      </c>
      <c r="G431" s="1">
        <v>457450</v>
      </c>
      <c r="H431" s="1">
        <v>416279.5</v>
      </c>
      <c r="I431" s="1">
        <v>76459.5</v>
      </c>
      <c r="J431" t="s">
        <v>19</v>
      </c>
      <c r="K431">
        <v>2019</v>
      </c>
    </row>
    <row r="432" spans="1:11" hidden="1" x14ac:dyDescent="0.3">
      <c r="A432" t="s">
        <v>17</v>
      </c>
      <c r="B432" t="s">
        <v>40</v>
      </c>
      <c r="C432" t="s">
        <v>20</v>
      </c>
      <c r="D432" t="s">
        <v>26</v>
      </c>
      <c r="E432" s="1">
        <v>567</v>
      </c>
      <c r="F432" s="1">
        <v>125</v>
      </c>
      <c r="G432" s="1">
        <v>70875</v>
      </c>
      <c r="H432" s="1">
        <v>64496.25</v>
      </c>
      <c r="I432" s="1">
        <v>-3543.75</v>
      </c>
      <c r="J432" t="s">
        <v>21</v>
      </c>
      <c r="K432">
        <v>2019</v>
      </c>
    </row>
    <row r="433" spans="1:11" hidden="1" x14ac:dyDescent="0.3">
      <c r="A433" t="s">
        <v>17</v>
      </c>
      <c r="B433" t="s">
        <v>9</v>
      </c>
      <c r="C433" t="s">
        <v>20</v>
      </c>
      <c r="D433" t="s">
        <v>26</v>
      </c>
      <c r="E433" s="1">
        <v>2110</v>
      </c>
      <c r="F433" s="1">
        <v>125</v>
      </c>
      <c r="G433" s="1">
        <v>263750</v>
      </c>
      <c r="H433" s="1">
        <v>240012.5</v>
      </c>
      <c r="I433" s="1">
        <v>-13187.5</v>
      </c>
      <c r="J433" t="s">
        <v>21</v>
      </c>
      <c r="K433">
        <v>2019</v>
      </c>
    </row>
    <row r="434" spans="1:11" hidden="1" x14ac:dyDescent="0.3">
      <c r="A434" t="s">
        <v>6</v>
      </c>
      <c r="B434" t="s">
        <v>40</v>
      </c>
      <c r="C434" t="s">
        <v>20</v>
      </c>
      <c r="D434" t="s">
        <v>26</v>
      </c>
      <c r="E434" s="1">
        <v>1269</v>
      </c>
      <c r="F434" s="1">
        <v>350</v>
      </c>
      <c r="G434" s="1">
        <v>444150</v>
      </c>
      <c r="H434" s="1">
        <v>404176.5</v>
      </c>
      <c r="I434" s="1">
        <v>74236.5</v>
      </c>
      <c r="J434" t="s">
        <v>10</v>
      </c>
      <c r="K434">
        <v>2019</v>
      </c>
    </row>
    <row r="435" spans="1:11" hidden="1" x14ac:dyDescent="0.3">
      <c r="A435" t="s">
        <v>3</v>
      </c>
      <c r="B435" t="s">
        <v>42</v>
      </c>
      <c r="C435" t="s">
        <v>2</v>
      </c>
      <c r="D435" t="s">
        <v>26</v>
      </c>
      <c r="E435" s="1">
        <v>1956</v>
      </c>
      <c r="F435" s="1">
        <v>12</v>
      </c>
      <c r="G435" s="1">
        <v>23472</v>
      </c>
      <c r="H435" s="1">
        <v>21359.52</v>
      </c>
      <c r="I435" s="1">
        <v>15491.52</v>
      </c>
      <c r="J435" t="s">
        <v>24</v>
      </c>
      <c r="K435">
        <v>2019</v>
      </c>
    </row>
    <row r="436" spans="1:11" hidden="1" x14ac:dyDescent="0.3">
      <c r="A436" t="s">
        <v>12</v>
      </c>
      <c r="B436" t="s">
        <v>41</v>
      </c>
      <c r="C436" t="s">
        <v>2</v>
      </c>
      <c r="D436" t="s">
        <v>26</v>
      </c>
      <c r="E436" s="1">
        <v>2659</v>
      </c>
      <c r="F436" s="1">
        <v>300</v>
      </c>
      <c r="G436" s="1">
        <v>797700</v>
      </c>
      <c r="H436" s="1">
        <v>725907</v>
      </c>
      <c r="I436" s="1">
        <v>61157</v>
      </c>
      <c r="J436" t="s">
        <v>7</v>
      </c>
      <c r="K436">
        <v>2019</v>
      </c>
    </row>
    <row r="437" spans="1:11" hidden="1" x14ac:dyDescent="0.3">
      <c r="A437" t="s">
        <v>6</v>
      </c>
      <c r="B437" t="s">
        <v>42</v>
      </c>
      <c r="C437" t="s">
        <v>2</v>
      </c>
      <c r="D437" t="s">
        <v>26</v>
      </c>
      <c r="E437" s="1">
        <v>1351.5</v>
      </c>
      <c r="F437" s="1">
        <v>350</v>
      </c>
      <c r="G437" s="1">
        <v>473025</v>
      </c>
      <c r="H437" s="1">
        <v>430452.75</v>
      </c>
      <c r="I437" s="1">
        <v>79062.75</v>
      </c>
      <c r="J437" t="s">
        <v>4</v>
      </c>
      <c r="K437">
        <v>2019</v>
      </c>
    </row>
    <row r="438" spans="1:11" hidden="1" x14ac:dyDescent="0.3">
      <c r="A438" t="s">
        <v>3</v>
      </c>
      <c r="B438" t="s">
        <v>41</v>
      </c>
      <c r="C438" t="s">
        <v>2</v>
      </c>
      <c r="D438" t="s">
        <v>26</v>
      </c>
      <c r="E438" s="1">
        <v>880</v>
      </c>
      <c r="F438" s="1">
        <v>12</v>
      </c>
      <c r="G438" s="1">
        <v>10560</v>
      </c>
      <c r="H438" s="1">
        <v>9609.6</v>
      </c>
      <c r="I438" s="1">
        <v>6969.6</v>
      </c>
      <c r="J438" t="s">
        <v>0</v>
      </c>
      <c r="K438">
        <v>2019</v>
      </c>
    </row>
    <row r="439" spans="1:11" hidden="1" x14ac:dyDescent="0.3">
      <c r="A439" t="s">
        <v>12</v>
      </c>
      <c r="B439" t="s">
        <v>42</v>
      </c>
      <c r="C439" t="s">
        <v>2</v>
      </c>
      <c r="D439" t="s">
        <v>26</v>
      </c>
      <c r="E439" s="1">
        <v>1867</v>
      </c>
      <c r="F439" s="1">
        <v>300</v>
      </c>
      <c r="G439" s="1">
        <v>560100</v>
      </c>
      <c r="H439" s="1">
        <v>509691</v>
      </c>
      <c r="I439" s="1">
        <v>42941</v>
      </c>
      <c r="J439" t="s">
        <v>21</v>
      </c>
      <c r="K439">
        <v>2019</v>
      </c>
    </row>
    <row r="440" spans="1:11" hidden="1" x14ac:dyDescent="0.3">
      <c r="A440" t="s">
        <v>3</v>
      </c>
      <c r="B440" t="s">
        <v>14</v>
      </c>
      <c r="C440" t="s">
        <v>2</v>
      </c>
      <c r="D440" t="s">
        <v>26</v>
      </c>
      <c r="E440" s="1">
        <v>2234</v>
      </c>
      <c r="F440" s="1">
        <v>12</v>
      </c>
      <c r="G440" s="1">
        <v>26808</v>
      </c>
      <c r="H440" s="1">
        <v>24395.279999999999</v>
      </c>
      <c r="I440" s="1">
        <v>17693.28</v>
      </c>
      <c r="J440" t="s">
        <v>21</v>
      </c>
      <c r="K440">
        <v>2018</v>
      </c>
    </row>
    <row r="441" spans="1:11" hidden="1" x14ac:dyDescent="0.3">
      <c r="A441" t="s">
        <v>18</v>
      </c>
      <c r="B441" t="s">
        <v>14</v>
      </c>
      <c r="C441" t="s">
        <v>2</v>
      </c>
      <c r="D441" t="s">
        <v>26</v>
      </c>
      <c r="E441" s="1">
        <v>1227</v>
      </c>
      <c r="F441" s="1">
        <v>15</v>
      </c>
      <c r="G441" s="1">
        <v>18405</v>
      </c>
      <c r="H441" s="1">
        <v>16748.55</v>
      </c>
      <c r="I441" s="1">
        <v>4478.5499999999993</v>
      </c>
      <c r="J441" t="s">
        <v>10</v>
      </c>
      <c r="K441">
        <v>2019</v>
      </c>
    </row>
    <row r="442" spans="1:11" hidden="1" x14ac:dyDescent="0.3">
      <c r="A442" t="s">
        <v>17</v>
      </c>
      <c r="B442" t="s">
        <v>9</v>
      </c>
      <c r="C442" t="s">
        <v>2</v>
      </c>
      <c r="D442" t="s">
        <v>26</v>
      </c>
      <c r="E442" s="1">
        <v>877</v>
      </c>
      <c r="F442" s="1">
        <v>125</v>
      </c>
      <c r="G442" s="1">
        <v>109625</v>
      </c>
      <c r="H442" s="1">
        <v>99758.75</v>
      </c>
      <c r="I442" s="1">
        <v>-5481.25</v>
      </c>
      <c r="J442" t="s">
        <v>16</v>
      </c>
      <c r="K442">
        <v>2019</v>
      </c>
    </row>
    <row r="443" spans="1:11" hidden="1" x14ac:dyDescent="0.3">
      <c r="A443" t="s">
        <v>6</v>
      </c>
      <c r="B443" t="s">
        <v>42</v>
      </c>
      <c r="C443" t="s">
        <v>11</v>
      </c>
      <c r="D443" t="s">
        <v>26</v>
      </c>
      <c r="E443" s="1">
        <v>2071</v>
      </c>
      <c r="F443" s="1">
        <v>350</v>
      </c>
      <c r="G443" s="1">
        <v>724850</v>
      </c>
      <c r="H443" s="1">
        <v>659613.5</v>
      </c>
      <c r="I443" s="1">
        <v>121153.5</v>
      </c>
      <c r="J443" t="s">
        <v>21</v>
      </c>
      <c r="K443">
        <v>2019</v>
      </c>
    </row>
    <row r="444" spans="1:11" hidden="1" x14ac:dyDescent="0.3">
      <c r="A444" t="s">
        <v>6</v>
      </c>
      <c r="B444" t="s">
        <v>40</v>
      </c>
      <c r="C444" t="s">
        <v>11</v>
      </c>
      <c r="D444" t="s">
        <v>26</v>
      </c>
      <c r="E444" s="1">
        <v>1269</v>
      </c>
      <c r="F444" s="1">
        <v>350</v>
      </c>
      <c r="G444" s="1">
        <v>444150</v>
      </c>
      <c r="H444" s="1">
        <v>404176.5</v>
      </c>
      <c r="I444" s="1">
        <v>74236.5</v>
      </c>
      <c r="J444" t="s">
        <v>10</v>
      </c>
      <c r="K444">
        <v>2019</v>
      </c>
    </row>
    <row r="445" spans="1:11" hidden="1" x14ac:dyDescent="0.3">
      <c r="A445" t="s">
        <v>18</v>
      </c>
      <c r="B445" t="s">
        <v>41</v>
      </c>
      <c r="C445" t="s">
        <v>11</v>
      </c>
      <c r="D445" t="s">
        <v>26</v>
      </c>
      <c r="E445" s="1">
        <v>970</v>
      </c>
      <c r="F445" s="1">
        <v>15</v>
      </c>
      <c r="G445" s="1">
        <v>14550</v>
      </c>
      <c r="H445" s="1">
        <v>13240.5</v>
      </c>
      <c r="I445" s="1">
        <v>3540.5</v>
      </c>
      <c r="J445" t="s">
        <v>16</v>
      </c>
      <c r="K445">
        <v>2018</v>
      </c>
    </row>
    <row r="446" spans="1:11" hidden="1" x14ac:dyDescent="0.3">
      <c r="A446" t="s">
        <v>6</v>
      </c>
      <c r="B446" t="s">
        <v>9</v>
      </c>
      <c r="C446" t="s">
        <v>11</v>
      </c>
      <c r="D446" t="s">
        <v>26</v>
      </c>
      <c r="E446" s="1">
        <v>1694</v>
      </c>
      <c r="F446" s="1">
        <v>20</v>
      </c>
      <c r="G446" s="1">
        <v>33880</v>
      </c>
      <c r="H446" s="1">
        <v>30830.799999999999</v>
      </c>
      <c r="I446" s="1">
        <v>13890.8</v>
      </c>
      <c r="J446" t="s">
        <v>16</v>
      </c>
      <c r="K446">
        <v>2019</v>
      </c>
    </row>
    <row r="447" spans="1:11" hidden="1" x14ac:dyDescent="0.3">
      <c r="A447" t="s">
        <v>6</v>
      </c>
      <c r="B447" t="s">
        <v>41</v>
      </c>
      <c r="C447" t="s">
        <v>23</v>
      </c>
      <c r="D447" t="s">
        <v>26</v>
      </c>
      <c r="E447" s="1">
        <v>663</v>
      </c>
      <c r="F447" s="1">
        <v>20</v>
      </c>
      <c r="G447" s="1">
        <v>13260</v>
      </c>
      <c r="H447" s="1">
        <v>12066.6</v>
      </c>
      <c r="I447" s="1">
        <v>5436.6</v>
      </c>
      <c r="J447" t="s">
        <v>0</v>
      </c>
      <c r="K447">
        <v>2019</v>
      </c>
    </row>
    <row r="448" spans="1:11" hidden="1" x14ac:dyDescent="0.3">
      <c r="A448" t="s">
        <v>6</v>
      </c>
      <c r="B448" t="s">
        <v>40</v>
      </c>
      <c r="C448" t="s">
        <v>23</v>
      </c>
      <c r="D448" t="s">
        <v>26</v>
      </c>
      <c r="E448" s="1">
        <v>819</v>
      </c>
      <c r="F448" s="1">
        <v>7</v>
      </c>
      <c r="G448" s="1">
        <v>5733</v>
      </c>
      <c r="H448" s="1">
        <v>5217.03</v>
      </c>
      <c r="I448" s="1">
        <v>1122.03</v>
      </c>
      <c r="J448" t="s">
        <v>19</v>
      </c>
      <c r="K448">
        <v>2019</v>
      </c>
    </row>
    <row r="449" spans="1:11" hidden="1" x14ac:dyDescent="0.3">
      <c r="A449" t="s">
        <v>3</v>
      </c>
      <c r="B449" t="s">
        <v>41</v>
      </c>
      <c r="C449" t="s">
        <v>23</v>
      </c>
      <c r="D449" t="s">
        <v>26</v>
      </c>
      <c r="E449" s="1">
        <v>1580</v>
      </c>
      <c r="F449" s="1">
        <v>12</v>
      </c>
      <c r="G449" s="1">
        <v>18960</v>
      </c>
      <c r="H449" s="1">
        <v>17253.599999999999</v>
      </c>
      <c r="I449" s="1">
        <v>12513.599999999999</v>
      </c>
      <c r="J449" t="s">
        <v>21</v>
      </c>
      <c r="K449">
        <v>2019</v>
      </c>
    </row>
    <row r="450" spans="1:11" hidden="1" x14ac:dyDescent="0.3">
      <c r="A450" t="s">
        <v>6</v>
      </c>
      <c r="B450" t="s">
        <v>9</v>
      </c>
      <c r="C450" t="s">
        <v>23</v>
      </c>
      <c r="D450" t="s">
        <v>26</v>
      </c>
      <c r="E450" s="1">
        <v>521</v>
      </c>
      <c r="F450" s="1">
        <v>7</v>
      </c>
      <c r="G450" s="1">
        <v>3647</v>
      </c>
      <c r="H450" s="1">
        <v>3318.77</v>
      </c>
      <c r="I450" s="1">
        <v>713.77</v>
      </c>
      <c r="J450" t="s">
        <v>15</v>
      </c>
      <c r="K450">
        <v>2019</v>
      </c>
    </row>
    <row r="451" spans="1:11" hidden="1" x14ac:dyDescent="0.3">
      <c r="A451" t="s">
        <v>6</v>
      </c>
      <c r="B451" t="s">
        <v>42</v>
      </c>
      <c r="C451" t="s">
        <v>5</v>
      </c>
      <c r="D451" t="s">
        <v>26</v>
      </c>
      <c r="E451" s="1">
        <v>973</v>
      </c>
      <c r="F451" s="1">
        <v>20</v>
      </c>
      <c r="G451" s="1">
        <v>19460</v>
      </c>
      <c r="H451" s="1">
        <v>17708.599999999999</v>
      </c>
      <c r="I451" s="1">
        <v>7978.5999999999985</v>
      </c>
      <c r="J451" t="s">
        <v>13</v>
      </c>
      <c r="K451">
        <v>2019</v>
      </c>
    </row>
    <row r="452" spans="1:11" hidden="1" x14ac:dyDescent="0.3">
      <c r="A452" t="s">
        <v>6</v>
      </c>
      <c r="B452" t="s">
        <v>9</v>
      </c>
      <c r="C452" t="s">
        <v>5</v>
      </c>
      <c r="D452" t="s">
        <v>26</v>
      </c>
      <c r="E452" s="1">
        <v>1038</v>
      </c>
      <c r="F452" s="1">
        <v>20</v>
      </c>
      <c r="G452" s="1">
        <v>20760</v>
      </c>
      <c r="H452" s="1">
        <v>18891.599999999999</v>
      </c>
      <c r="I452" s="1">
        <v>8511.5999999999985</v>
      </c>
      <c r="J452" t="s">
        <v>25</v>
      </c>
      <c r="K452">
        <v>2019</v>
      </c>
    </row>
    <row r="453" spans="1:11" hidden="1" x14ac:dyDescent="0.3">
      <c r="A453" t="s">
        <v>6</v>
      </c>
      <c r="B453" t="s">
        <v>41</v>
      </c>
      <c r="C453" t="s">
        <v>5</v>
      </c>
      <c r="D453" t="s">
        <v>26</v>
      </c>
      <c r="E453" s="1">
        <v>360</v>
      </c>
      <c r="F453" s="1">
        <v>7</v>
      </c>
      <c r="G453" s="1">
        <v>2520</v>
      </c>
      <c r="H453" s="1">
        <v>2293.1999999999998</v>
      </c>
      <c r="I453" s="1">
        <v>493.19999999999982</v>
      </c>
      <c r="J453" t="s">
        <v>10</v>
      </c>
      <c r="K453">
        <v>2019</v>
      </c>
    </row>
    <row r="454" spans="1:11" hidden="1" x14ac:dyDescent="0.3">
      <c r="A454" t="s">
        <v>3</v>
      </c>
      <c r="B454" t="s">
        <v>14</v>
      </c>
      <c r="C454" t="s">
        <v>20</v>
      </c>
      <c r="D454" t="s">
        <v>26</v>
      </c>
      <c r="E454" s="1">
        <v>1967</v>
      </c>
      <c r="F454" s="1">
        <v>12</v>
      </c>
      <c r="G454" s="1">
        <v>23604</v>
      </c>
      <c r="H454" s="1">
        <v>21479.64</v>
      </c>
      <c r="I454" s="1">
        <v>15578.64</v>
      </c>
      <c r="J454" t="s">
        <v>13</v>
      </c>
      <c r="K454">
        <v>2019</v>
      </c>
    </row>
    <row r="455" spans="1:11" hidden="1" x14ac:dyDescent="0.3">
      <c r="A455" t="s">
        <v>18</v>
      </c>
      <c r="B455" t="s">
        <v>9</v>
      </c>
      <c r="C455" t="s">
        <v>20</v>
      </c>
      <c r="D455" t="s">
        <v>26</v>
      </c>
      <c r="E455" s="1">
        <v>2628</v>
      </c>
      <c r="F455" s="1">
        <v>15</v>
      </c>
      <c r="G455" s="1">
        <v>39420</v>
      </c>
      <c r="H455" s="1">
        <v>35872.199999999997</v>
      </c>
      <c r="I455" s="1">
        <v>9592.1999999999971</v>
      </c>
      <c r="J455" t="s">
        <v>4</v>
      </c>
      <c r="K455">
        <v>2019</v>
      </c>
    </row>
    <row r="456" spans="1:11" hidden="1" x14ac:dyDescent="0.3">
      <c r="A456" t="s">
        <v>6</v>
      </c>
      <c r="B456" t="s">
        <v>41</v>
      </c>
      <c r="C456" t="s">
        <v>2</v>
      </c>
      <c r="D456" t="s">
        <v>26</v>
      </c>
      <c r="E456" s="1">
        <v>360</v>
      </c>
      <c r="F456" s="1">
        <v>7</v>
      </c>
      <c r="G456" s="1">
        <v>2520</v>
      </c>
      <c r="H456" s="1">
        <v>2293.1999999999998</v>
      </c>
      <c r="I456" s="1">
        <v>493.19999999999982</v>
      </c>
      <c r="J456" t="s">
        <v>10</v>
      </c>
      <c r="K456">
        <v>2019</v>
      </c>
    </row>
    <row r="457" spans="1:11" hidden="1" x14ac:dyDescent="0.3">
      <c r="A457" t="s">
        <v>6</v>
      </c>
      <c r="B457" t="s">
        <v>14</v>
      </c>
      <c r="C457" t="s">
        <v>2</v>
      </c>
      <c r="D457" t="s">
        <v>26</v>
      </c>
      <c r="E457" s="1">
        <v>2682</v>
      </c>
      <c r="F457" s="1">
        <v>20</v>
      </c>
      <c r="G457" s="1">
        <v>53640</v>
      </c>
      <c r="H457" s="1">
        <v>48812.4</v>
      </c>
      <c r="I457" s="1">
        <v>21992.400000000001</v>
      </c>
      <c r="J457" t="s">
        <v>16</v>
      </c>
      <c r="K457">
        <v>2018</v>
      </c>
    </row>
    <row r="458" spans="1:11" hidden="1" x14ac:dyDescent="0.3">
      <c r="A458" t="s">
        <v>6</v>
      </c>
      <c r="B458" t="s">
        <v>9</v>
      </c>
      <c r="C458" t="s">
        <v>2</v>
      </c>
      <c r="D458" t="s">
        <v>26</v>
      </c>
      <c r="E458" s="1">
        <v>521</v>
      </c>
      <c r="F458" s="1">
        <v>7</v>
      </c>
      <c r="G458" s="1">
        <v>3647</v>
      </c>
      <c r="H458" s="1">
        <v>3318.77</v>
      </c>
      <c r="I458" s="1">
        <v>713.77</v>
      </c>
      <c r="J458" t="s">
        <v>15</v>
      </c>
      <c r="K458">
        <v>2019</v>
      </c>
    </row>
    <row r="459" spans="1:11" hidden="1" x14ac:dyDescent="0.3">
      <c r="A459" t="s">
        <v>6</v>
      </c>
      <c r="B459" t="s">
        <v>9</v>
      </c>
      <c r="C459" t="s">
        <v>11</v>
      </c>
      <c r="D459" t="s">
        <v>26</v>
      </c>
      <c r="E459" s="1">
        <v>1038</v>
      </c>
      <c r="F459" s="1">
        <v>20</v>
      </c>
      <c r="G459" s="1">
        <v>20760</v>
      </c>
      <c r="H459" s="1">
        <v>18891.599999999999</v>
      </c>
      <c r="I459" s="1">
        <v>8511.5999999999985</v>
      </c>
      <c r="J459" t="s">
        <v>25</v>
      </c>
      <c r="K459">
        <v>2019</v>
      </c>
    </row>
    <row r="460" spans="1:11" hidden="1" x14ac:dyDescent="0.3">
      <c r="A460" t="s">
        <v>18</v>
      </c>
      <c r="B460" t="s">
        <v>40</v>
      </c>
      <c r="C460" t="s">
        <v>11</v>
      </c>
      <c r="D460" t="s">
        <v>26</v>
      </c>
      <c r="E460" s="1">
        <v>1630.5</v>
      </c>
      <c r="F460" s="1">
        <v>15</v>
      </c>
      <c r="G460" s="1">
        <v>24457.5</v>
      </c>
      <c r="H460" s="1">
        <v>22256.324999999997</v>
      </c>
      <c r="I460" s="1">
        <v>5951.3249999999989</v>
      </c>
      <c r="J460" t="s">
        <v>19</v>
      </c>
      <c r="K460">
        <v>2019</v>
      </c>
    </row>
    <row r="461" spans="1:11" hidden="1" x14ac:dyDescent="0.3">
      <c r="A461" t="s">
        <v>3</v>
      </c>
      <c r="B461" t="s">
        <v>14</v>
      </c>
      <c r="C461" t="s">
        <v>11</v>
      </c>
      <c r="D461" t="s">
        <v>26</v>
      </c>
      <c r="E461" s="1">
        <v>306</v>
      </c>
      <c r="F461" s="1">
        <v>12</v>
      </c>
      <c r="G461" s="1">
        <v>3672</v>
      </c>
      <c r="H461" s="1">
        <v>3341.52</v>
      </c>
      <c r="I461" s="1">
        <v>2423.52</v>
      </c>
      <c r="J461" t="s">
        <v>15</v>
      </c>
      <c r="K461">
        <v>2018</v>
      </c>
    </row>
    <row r="462" spans="1:11" hidden="1" x14ac:dyDescent="0.3">
      <c r="A462" t="s">
        <v>3</v>
      </c>
      <c r="B462" t="s">
        <v>42</v>
      </c>
      <c r="C462" t="s">
        <v>23</v>
      </c>
      <c r="D462" t="s">
        <v>1</v>
      </c>
      <c r="E462" s="1">
        <v>386</v>
      </c>
      <c r="F462" s="1">
        <v>12</v>
      </c>
      <c r="G462" s="1">
        <v>4632</v>
      </c>
      <c r="H462" s="1">
        <v>4168.8</v>
      </c>
      <c r="I462" s="1">
        <v>3010.8</v>
      </c>
      <c r="J462" t="s">
        <v>10</v>
      </c>
      <c r="K462">
        <v>2018</v>
      </c>
    </row>
    <row r="463" spans="1:11" hidden="1" x14ac:dyDescent="0.3">
      <c r="A463" t="s">
        <v>6</v>
      </c>
      <c r="B463" t="s">
        <v>42</v>
      </c>
      <c r="C463" t="s">
        <v>8</v>
      </c>
      <c r="D463" t="s">
        <v>1</v>
      </c>
      <c r="E463" s="1">
        <v>2328</v>
      </c>
      <c r="F463" s="1">
        <v>7</v>
      </c>
      <c r="G463" s="1">
        <v>16296</v>
      </c>
      <c r="H463" s="1">
        <v>14666.4</v>
      </c>
      <c r="I463" s="1">
        <v>3026.3999999999996</v>
      </c>
      <c r="J463" t="s">
        <v>21</v>
      </c>
      <c r="K463">
        <v>2019</v>
      </c>
    </row>
    <row r="464" spans="1:11" hidden="1" x14ac:dyDescent="0.3">
      <c r="A464" t="s">
        <v>3</v>
      </c>
      <c r="B464" t="s">
        <v>42</v>
      </c>
      <c r="C464" t="s">
        <v>5</v>
      </c>
      <c r="D464" t="s">
        <v>1</v>
      </c>
      <c r="E464" s="1">
        <v>386</v>
      </c>
      <c r="F464" s="1">
        <v>12</v>
      </c>
      <c r="G464" s="1">
        <v>4632</v>
      </c>
      <c r="H464" s="1">
        <v>4168.8</v>
      </c>
      <c r="I464" s="1">
        <v>3010.8</v>
      </c>
      <c r="J464" t="s">
        <v>10</v>
      </c>
      <c r="K464">
        <v>2018</v>
      </c>
    </row>
    <row r="465" spans="1:11" hidden="1" x14ac:dyDescent="0.3">
      <c r="A465" t="s">
        <v>17</v>
      </c>
      <c r="B465" t="s">
        <v>42</v>
      </c>
      <c r="C465" t="s">
        <v>23</v>
      </c>
      <c r="D465" t="s">
        <v>1</v>
      </c>
      <c r="E465" s="1">
        <v>3445.5</v>
      </c>
      <c r="F465" s="1">
        <v>125</v>
      </c>
      <c r="G465" s="1">
        <v>430687.5</v>
      </c>
      <c r="H465" s="1">
        <v>387618.75</v>
      </c>
      <c r="I465" s="1">
        <v>-25841.25</v>
      </c>
      <c r="J465" t="s">
        <v>4</v>
      </c>
      <c r="K465">
        <v>2019</v>
      </c>
    </row>
    <row r="466" spans="1:11" hidden="1" x14ac:dyDescent="0.3">
      <c r="A466" t="s">
        <v>17</v>
      </c>
      <c r="B466" t="s">
        <v>14</v>
      </c>
      <c r="C466" t="s">
        <v>23</v>
      </c>
      <c r="D466" t="s">
        <v>1</v>
      </c>
      <c r="E466" s="1">
        <v>1482</v>
      </c>
      <c r="F466" s="1">
        <v>125</v>
      </c>
      <c r="G466" s="1">
        <v>185250</v>
      </c>
      <c r="H466" s="1">
        <v>166725</v>
      </c>
      <c r="I466" s="1">
        <v>-11115</v>
      </c>
      <c r="J466" t="s">
        <v>15</v>
      </c>
      <c r="K466">
        <v>2018</v>
      </c>
    </row>
    <row r="467" spans="1:11" hidden="1" x14ac:dyDescent="0.3">
      <c r="A467" t="s">
        <v>6</v>
      </c>
      <c r="B467" t="s">
        <v>42</v>
      </c>
      <c r="C467" t="s">
        <v>8</v>
      </c>
      <c r="D467" t="s">
        <v>1</v>
      </c>
      <c r="E467" s="1">
        <v>2313</v>
      </c>
      <c r="F467" s="1">
        <v>350</v>
      </c>
      <c r="G467" s="1">
        <v>809550</v>
      </c>
      <c r="H467" s="1">
        <v>728595</v>
      </c>
      <c r="I467" s="1">
        <v>127215</v>
      </c>
      <c r="J467" t="s">
        <v>0</v>
      </c>
      <c r="K467">
        <v>2019</v>
      </c>
    </row>
    <row r="468" spans="1:11" hidden="1" x14ac:dyDescent="0.3">
      <c r="A468" t="s">
        <v>17</v>
      </c>
      <c r="B468" t="s">
        <v>42</v>
      </c>
      <c r="C468" t="s">
        <v>8</v>
      </c>
      <c r="D468" t="s">
        <v>1</v>
      </c>
      <c r="E468" s="1">
        <v>1804</v>
      </c>
      <c r="F468" s="1">
        <v>125</v>
      </c>
      <c r="G468" s="1">
        <v>225500</v>
      </c>
      <c r="H468" s="1">
        <v>202950</v>
      </c>
      <c r="I468" s="1">
        <v>-13530</v>
      </c>
      <c r="J468" t="s">
        <v>16</v>
      </c>
      <c r="K468">
        <v>2018</v>
      </c>
    </row>
    <row r="469" spans="1:11" hidden="1" x14ac:dyDescent="0.3">
      <c r="A469" t="s">
        <v>18</v>
      </c>
      <c r="B469" t="s">
        <v>14</v>
      </c>
      <c r="C469" t="s">
        <v>8</v>
      </c>
      <c r="D469" t="s">
        <v>1</v>
      </c>
      <c r="E469" s="1">
        <v>2072</v>
      </c>
      <c r="F469" s="1">
        <v>15</v>
      </c>
      <c r="G469" s="1">
        <v>31080</v>
      </c>
      <c r="H469" s="1">
        <v>27972</v>
      </c>
      <c r="I469" s="1">
        <v>7252</v>
      </c>
      <c r="J469" t="s">
        <v>15</v>
      </c>
      <c r="K469">
        <v>2019</v>
      </c>
    </row>
    <row r="470" spans="1:11" hidden="1" x14ac:dyDescent="0.3">
      <c r="A470" t="s">
        <v>6</v>
      </c>
      <c r="B470" t="s">
        <v>14</v>
      </c>
      <c r="C470" t="s">
        <v>5</v>
      </c>
      <c r="D470" t="s">
        <v>1</v>
      </c>
      <c r="E470" s="1">
        <v>1954</v>
      </c>
      <c r="F470" s="1">
        <v>20</v>
      </c>
      <c r="G470" s="1">
        <v>39080</v>
      </c>
      <c r="H470" s="1">
        <v>35172</v>
      </c>
      <c r="I470" s="1">
        <v>15632</v>
      </c>
      <c r="J470" t="s">
        <v>13</v>
      </c>
      <c r="K470">
        <v>2019</v>
      </c>
    </row>
    <row r="471" spans="1:11" hidden="1" x14ac:dyDescent="0.3">
      <c r="A471" t="s">
        <v>12</v>
      </c>
      <c r="B471" t="s">
        <v>9</v>
      </c>
      <c r="C471" t="s">
        <v>5</v>
      </c>
      <c r="D471" t="s">
        <v>1</v>
      </c>
      <c r="E471" s="1">
        <v>591</v>
      </c>
      <c r="F471" s="1">
        <v>300</v>
      </c>
      <c r="G471" s="1">
        <v>177300</v>
      </c>
      <c r="H471" s="1">
        <v>159570</v>
      </c>
      <c r="I471" s="1">
        <v>11820</v>
      </c>
      <c r="J471" t="s">
        <v>0</v>
      </c>
      <c r="K471">
        <v>2019</v>
      </c>
    </row>
    <row r="472" spans="1:11" hidden="1" x14ac:dyDescent="0.3">
      <c r="A472" t="s">
        <v>18</v>
      </c>
      <c r="B472" t="s">
        <v>14</v>
      </c>
      <c r="C472" t="s">
        <v>5</v>
      </c>
      <c r="D472" t="s">
        <v>1</v>
      </c>
      <c r="E472" s="1">
        <v>2167</v>
      </c>
      <c r="F472" s="1">
        <v>15</v>
      </c>
      <c r="G472" s="1">
        <v>32505</v>
      </c>
      <c r="H472" s="1">
        <v>29254.5</v>
      </c>
      <c r="I472" s="1">
        <v>7584.5</v>
      </c>
      <c r="J472" t="s">
        <v>10</v>
      </c>
      <c r="K472">
        <v>2018</v>
      </c>
    </row>
    <row r="473" spans="1:11" hidden="1" x14ac:dyDescent="0.3">
      <c r="A473" t="s">
        <v>6</v>
      </c>
      <c r="B473" t="s">
        <v>41</v>
      </c>
      <c r="C473" t="s">
        <v>5</v>
      </c>
      <c r="D473" t="s">
        <v>1</v>
      </c>
      <c r="E473" s="1">
        <v>241</v>
      </c>
      <c r="F473" s="1">
        <v>20</v>
      </c>
      <c r="G473" s="1">
        <v>4820</v>
      </c>
      <c r="H473" s="1">
        <v>4338</v>
      </c>
      <c r="I473" s="1">
        <v>1928</v>
      </c>
      <c r="J473" t="s">
        <v>10</v>
      </c>
      <c r="K473">
        <v>2019</v>
      </c>
    </row>
    <row r="474" spans="1:11" hidden="1" x14ac:dyDescent="0.3">
      <c r="A474" t="s">
        <v>18</v>
      </c>
      <c r="B474" t="s">
        <v>41</v>
      </c>
      <c r="C474" t="s">
        <v>20</v>
      </c>
      <c r="D474" t="s">
        <v>1</v>
      </c>
      <c r="E474" s="1">
        <v>681</v>
      </c>
      <c r="F474" s="1">
        <v>15</v>
      </c>
      <c r="G474" s="1">
        <v>10215</v>
      </c>
      <c r="H474" s="1">
        <v>9193.5</v>
      </c>
      <c r="I474" s="1">
        <v>2383.5</v>
      </c>
      <c r="J474" t="s">
        <v>24</v>
      </c>
      <c r="K474">
        <v>2019</v>
      </c>
    </row>
    <row r="475" spans="1:11" hidden="1" x14ac:dyDescent="0.3">
      <c r="A475" t="s">
        <v>18</v>
      </c>
      <c r="B475" t="s">
        <v>41</v>
      </c>
      <c r="C475" t="s">
        <v>20</v>
      </c>
      <c r="D475" t="s">
        <v>1</v>
      </c>
      <c r="E475" s="1">
        <v>510</v>
      </c>
      <c r="F475" s="1">
        <v>15</v>
      </c>
      <c r="G475" s="1">
        <v>7650</v>
      </c>
      <c r="H475" s="1">
        <v>6885</v>
      </c>
      <c r="I475" s="1">
        <v>1785</v>
      </c>
      <c r="J475" t="s">
        <v>4</v>
      </c>
      <c r="K475">
        <v>2019</v>
      </c>
    </row>
    <row r="476" spans="1:11" hidden="1" x14ac:dyDescent="0.3">
      <c r="A476" t="s">
        <v>18</v>
      </c>
      <c r="B476" t="s">
        <v>42</v>
      </c>
      <c r="C476" t="s">
        <v>20</v>
      </c>
      <c r="D476" t="s">
        <v>1</v>
      </c>
      <c r="E476" s="1">
        <v>790</v>
      </c>
      <c r="F476" s="1">
        <v>15</v>
      </c>
      <c r="G476" s="1">
        <v>11850</v>
      </c>
      <c r="H476" s="1">
        <v>10665</v>
      </c>
      <c r="I476" s="1">
        <v>2765</v>
      </c>
      <c r="J476" t="s">
        <v>0</v>
      </c>
      <c r="K476">
        <v>2019</v>
      </c>
    </row>
    <row r="477" spans="1:11" hidden="1" x14ac:dyDescent="0.3">
      <c r="A477" t="s">
        <v>6</v>
      </c>
      <c r="B477" t="s">
        <v>14</v>
      </c>
      <c r="C477" t="s">
        <v>20</v>
      </c>
      <c r="D477" t="s">
        <v>1</v>
      </c>
      <c r="E477" s="1">
        <v>639</v>
      </c>
      <c r="F477" s="1">
        <v>350</v>
      </c>
      <c r="G477" s="1">
        <v>223650</v>
      </c>
      <c r="H477" s="1">
        <v>201285</v>
      </c>
      <c r="I477" s="1">
        <v>35145</v>
      </c>
      <c r="J477" t="s">
        <v>19</v>
      </c>
      <c r="K477">
        <v>2019</v>
      </c>
    </row>
    <row r="478" spans="1:11" hidden="1" x14ac:dyDescent="0.3">
      <c r="A478" t="s">
        <v>17</v>
      </c>
      <c r="B478" t="s">
        <v>42</v>
      </c>
      <c r="C478" t="s">
        <v>20</v>
      </c>
      <c r="D478" t="s">
        <v>1</v>
      </c>
      <c r="E478" s="1">
        <v>1596</v>
      </c>
      <c r="F478" s="1">
        <v>125</v>
      </c>
      <c r="G478" s="1">
        <v>199500</v>
      </c>
      <c r="H478" s="1">
        <v>179550</v>
      </c>
      <c r="I478" s="1">
        <v>-11970</v>
      </c>
      <c r="J478" t="s">
        <v>21</v>
      </c>
      <c r="K478">
        <v>2019</v>
      </c>
    </row>
    <row r="479" spans="1:11" hidden="1" x14ac:dyDescent="0.3">
      <c r="A479" t="s">
        <v>12</v>
      </c>
      <c r="B479" t="s">
        <v>42</v>
      </c>
      <c r="C479" t="s">
        <v>20</v>
      </c>
      <c r="D479" t="s">
        <v>1</v>
      </c>
      <c r="E479" s="1">
        <v>2294</v>
      </c>
      <c r="F479" s="1">
        <v>300</v>
      </c>
      <c r="G479" s="1">
        <v>688200</v>
      </c>
      <c r="H479" s="1">
        <v>619380</v>
      </c>
      <c r="I479" s="1">
        <v>45880</v>
      </c>
      <c r="J479" t="s">
        <v>10</v>
      </c>
      <c r="K479">
        <v>2018</v>
      </c>
    </row>
    <row r="480" spans="1:11" hidden="1" x14ac:dyDescent="0.3">
      <c r="A480" t="s">
        <v>6</v>
      </c>
      <c r="B480" t="s">
        <v>41</v>
      </c>
      <c r="C480" t="s">
        <v>20</v>
      </c>
      <c r="D480" t="s">
        <v>1</v>
      </c>
      <c r="E480" s="1">
        <v>241</v>
      </c>
      <c r="F480" s="1">
        <v>20</v>
      </c>
      <c r="G480" s="1">
        <v>4820</v>
      </c>
      <c r="H480" s="1">
        <v>4338</v>
      </c>
      <c r="I480" s="1">
        <v>1928</v>
      </c>
      <c r="J480" t="s">
        <v>10</v>
      </c>
      <c r="K480">
        <v>2019</v>
      </c>
    </row>
    <row r="481" spans="1:11" hidden="1" x14ac:dyDescent="0.3">
      <c r="A481" t="s">
        <v>6</v>
      </c>
      <c r="B481" t="s">
        <v>41</v>
      </c>
      <c r="C481" t="s">
        <v>20</v>
      </c>
      <c r="D481" t="s">
        <v>1</v>
      </c>
      <c r="E481" s="1">
        <v>2665</v>
      </c>
      <c r="F481" s="1">
        <v>7</v>
      </c>
      <c r="G481" s="1">
        <v>18655</v>
      </c>
      <c r="H481" s="1">
        <v>16789.5</v>
      </c>
      <c r="I481" s="1">
        <v>3464.5</v>
      </c>
      <c r="J481" t="s">
        <v>16</v>
      </c>
      <c r="K481">
        <v>2019</v>
      </c>
    </row>
    <row r="482" spans="1:11" hidden="1" x14ac:dyDescent="0.3">
      <c r="A482" t="s">
        <v>17</v>
      </c>
      <c r="B482" t="s">
        <v>40</v>
      </c>
      <c r="C482" t="s">
        <v>20</v>
      </c>
      <c r="D482" t="s">
        <v>1</v>
      </c>
      <c r="E482" s="1">
        <v>1916</v>
      </c>
      <c r="F482" s="1">
        <v>125</v>
      </c>
      <c r="G482" s="1">
        <v>239500</v>
      </c>
      <c r="H482" s="1">
        <v>215550</v>
      </c>
      <c r="I482" s="1">
        <v>-14370</v>
      </c>
      <c r="J482" t="s">
        <v>15</v>
      </c>
      <c r="K482">
        <v>2018</v>
      </c>
    </row>
    <row r="483" spans="1:11" hidden="1" x14ac:dyDescent="0.3">
      <c r="A483" t="s">
        <v>12</v>
      </c>
      <c r="B483" t="s">
        <v>14</v>
      </c>
      <c r="C483" t="s">
        <v>20</v>
      </c>
      <c r="D483" t="s">
        <v>1</v>
      </c>
      <c r="E483" s="1">
        <v>853</v>
      </c>
      <c r="F483" s="1">
        <v>300</v>
      </c>
      <c r="G483" s="1">
        <v>255900</v>
      </c>
      <c r="H483" s="1">
        <v>230310</v>
      </c>
      <c r="I483" s="1">
        <v>17060</v>
      </c>
      <c r="J483" t="s">
        <v>15</v>
      </c>
      <c r="K483">
        <v>2019</v>
      </c>
    </row>
    <row r="484" spans="1:11" hidden="1" x14ac:dyDescent="0.3">
      <c r="A484" t="s">
        <v>17</v>
      </c>
      <c r="B484" t="s">
        <v>9</v>
      </c>
      <c r="C484" t="s">
        <v>2</v>
      </c>
      <c r="D484" t="s">
        <v>1</v>
      </c>
      <c r="E484" s="1">
        <v>341</v>
      </c>
      <c r="F484" s="1">
        <v>125</v>
      </c>
      <c r="G484" s="1">
        <v>42625</v>
      </c>
      <c r="H484" s="1">
        <v>38362.5</v>
      </c>
      <c r="I484" s="1">
        <v>-2557.5</v>
      </c>
      <c r="J484" t="s">
        <v>0</v>
      </c>
      <c r="K484">
        <v>2019</v>
      </c>
    </row>
    <row r="485" spans="1:11" hidden="1" x14ac:dyDescent="0.3">
      <c r="A485" t="s">
        <v>18</v>
      </c>
      <c r="B485" t="s">
        <v>9</v>
      </c>
      <c r="C485" t="s">
        <v>2</v>
      </c>
      <c r="D485" t="s">
        <v>1</v>
      </c>
      <c r="E485" s="1">
        <v>641</v>
      </c>
      <c r="F485" s="1">
        <v>15</v>
      </c>
      <c r="G485" s="1">
        <v>9615</v>
      </c>
      <c r="H485" s="1">
        <v>8653.5</v>
      </c>
      <c r="I485" s="1">
        <v>2243.5</v>
      </c>
      <c r="J485" t="s">
        <v>19</v>
      </c>
      <c r="K485">
        <v>2019</v>
      </c>
    </row>
    <row r="486" spans="1:11" hidden="1" x14ac:dyDescent="0.3">
      <c r="A486" t="s">
        <v>6</v>
      </c>
      <c r="B486" t="s">
        <v>42</v>
      </c>
      <c r="C486" t="s">
        <v>2</v>
      </c>
      <c r="D486" t="s">
        <v>1</v>
      </c>
      <c r="E486" s="1">
        <v>2807</v>
      </c>
      <c r="F486" s="1">
        <v>350</v>
      </c>
      <c r="G486" s="1">
        <v>982450</v>
      </c>
      <c r="H486" s="1">
        <v>884205</v>
      </c>
      <c r="I486" s="1">
        <v>154385</v>
      </c>
      <c r="J486" t="s">
        <v>22</v>
      </c>
      <c r="K486">
        <v>2019</v>
      </c>
    </row>
    <row r="487" spans="1:11" hidden="1" x14ac:dyDescent="0.3">
      <c r="A487" t="s">
        <v>12</v>
      </c>
      <c r="B487" t="s">
        <v>9</v>
      </c>
      <c r="C487" t="s">
        <v>2</v>
      </c>
      <c r="D487" t="s">
        <v>1</v>
      </c>
      <c r="E487" s="1">
        <v>432</v>
      </c>
      <c r="F487" s="1">
        <v>300</v>
      </c>
      <c r="G487" s="1">
        <v>129600</v>
      </c>
      <c r="H487" s="1">
        <v>116640</v>
      </c>
      <c r="I487" s="1">
        <v>8640</v>
      </c>
      <c r="J487" t="s">
        <v>21</v>
      </c>
      <c r="K487">
        <v>2019</v>
      </c>
    </row>
    <row r="488" spans="1:11" hidden="1" x14ac:dyDescent="0.3">
      <c r="A488" t="s">
        <v>12</v>
      </c>
      <c r="B488" t="s">
        <v>42</v>
      </c>
      <c r="C488" t="s">
        <v>2</v>
      </c>
      <c r="D488" t="s">
        <v>1</v>
      </c>
      <c r="E488" s="1">
        <v>2294</v>
      </c>
      <c r="F488" s="1">
        <v>300</v>
      </c>
      <c r="G488" s="1">
        <v>688200</v>
      </c>
      <c r="H488" s="1">
        <v>619380</v>
      </c>
      <c r="I488" s="1">
        <v>45880</v>
      </c>
      <c r="J488" t="s">
        <v>10</v>
      </c>
      <c r="K488">
        <v>2018</v>
      </c>
    </row>
    <row r="489" spans="1:11" hidden="1" x14ac:dyDescent="0.3">
      <c r="A489" t="s">
        <v>18</v>
      </c>
      <c r="B489" t="s">
        <v>14</v>
      </c>
      <c r="C489" t="s">
        <v>2</v>
      </c>
      <c r="D489" t="s">
        <v>1</v>
      </c>
      <c r="E489" s="1">
        <v>2167</v>
      </c>
      <c r="F489" s="1">
        <v>15</v>
      </c>
      <c r="G489" s="1">
        <v>32505</v>
      </c>
      <c r="H489" s="1">
        <v>29254.5</v>
      </c>
      <c r="I489" s="1">
        <v>7584.5</v>
      </c>
      <c r="J489" t="s">
        <v>10</v>
      </c>
      <c r="K489">
        <v>2018</v>
      </c>
    </row>
    <row r="490" spans="1:11" hidden="1" x14ac:dyDescent="0.3">
      <c r="A490" t="s">
        <v>17</v>
      </c>
      <c r="B490" t="s">
        <v>40</v>
      </c>
      <c r="C490" t="s">
        <v>2</v>
      </c>
      <c r="D490" t="s">
        <v>1</v>
      </c>
      <c r="E490" s="1">
        <v>2529</v>
      </c>
      <c r="F490" s="1">
        <v>125</v>
      </c>
      <c r="G490" s="1">
        <v>316125</v>
      </c>
      <c r="H490" s="1">
        <v>284512.5</v>
      </c>
      <c r="I490" s="1">
        <v>-18967.5</v>
      </c>
      <c r="J490" t="s">
        <v>16</v>
      </c>
      <c r="K490">
        <v>2019</v>
      </c>
    </row>
    <row r="491" spans="1:11" hidden="1" x14ac:dyDescent="0.3">
      <c r="A491" t="s">
        <v>6</v>
      </c>
      <c r="B491" t="s">
        <v>41</v>
      </c>
      <c r="C491" t="s">
        <v>2</v>
      </c>
      <c r="D491" t="s">
        <v>1</v>
      </c>
      <c r="E491" s="1">
        <v>1870</v>
      </c>
      <c r="F491" s="1">
        <v>350</v>
      </c>
      <c r="G491" s="1">
        <v>654500</v>
      </c>
      <c r="H491" s="1">
        <v>589050</v>
      </c>
      <c r="I491" s="1">
        <v>102850</v>
      </c>
      <c r="J491" t="s">
        <v>15</v>
      </c>
      <c r="K491">
        <v>2018</v>
      </c>
    </row>
    <row r="492" spans="1:11" hidden="1" x14ac:dyDescent="0.3">
      <c r="A492" t="s">
        <v>17</v>
      </c>
      <c r="B492" t="s">
        <v>42</v>
      </c>
      <c r="C492" t="s">
        <v>11</v>
      </c>
      <c r="D492" t="s">
        <v>1</v>
      </c>
      <c r="E492" s="1">
        <v>579</v>
      </c>
      <c r="F492" s="1">
        <v>125</v>
      </c>
      <c r="G492" s="1">
        <v>72375</v>
      </c>
      <c r="H492" s="1">
        <v>65137.5</v>
      </c>
      <c r="I492" s="1">
        <v>-4342.5</v>
      </c>
      <c r="J492" t="s">
        <v>24</v>
      </c>
      <c r="K492">
        <v>2019</v>
      </c>
    </row>
    <row r="493" spans="1:11" hidden="1" x14ac:dyDescent="0.3">
      <c r="A493" t="s">
        <v>6</v>
      </c>
      <c r="B493" t="s">
        <v>40</v>
      </c>
      <c r="C493" t="s">
        <v>11</v>
      </c>
      <c r="D493" t="s">
        <v>1</v>
      </c>
      <c r="E493" s="1">
        <v>2240</v>
      </c>
      <c r="F493" s="1">
        <v>350</v>
      </c>
      <c r="G493" s="1">
        <v>784000</v>
      </c>
      <c r="H493" s="1">
        <v>705600</v>
      </c>
      <c r="I493" s="1">
        <v>123200</v>
      </c>
      <c r="J493" t="s">
        <v>7</v>
      </c>
      <c r="K493">
        <v>2019</v>
      </c>
    </row>
    <row r="494" spans="1:11" hidden="1" x14ac:dyDescent="0.3">
      <c r="A494" t="s">
        <v>12</v>
      </c>
      <c r="B494" t="s">
        <v>42</v>
      </c>
      <c r="C494" t="s">
        <v>11</v>
      </c>
      <c r="D494" t="s">
        <v>1</v>
      </c>
      <c r="E494" s="1">
        <v>2993</v>
      </c>
      <c r="F494" s="1">
        <v>300</v>
      </c>
      <c r="G494" s="1">
        <v>897900</v>
      </c>
      <c r="H494" s="1">
        <v>808110</v>
      </c>
      <c r="I494" s="1">
        <v>59860</v>
      </c>
      <c r="J494" t="s">
        <v>13</v>
      </c>
      <c r="K494">
        <v>2019</v>
      </c>
    </row>
    <row r="495" spans="1:11" x14ac:dyDescent="0.3">
      <c r="A495" t="s">
        <v>3</v>
      </c>
      <c r="B495" t="s">
        <v>40</v>
      </c>
      <c r="C495" t="s">
        <v>11</v>
      </c>
      <c r="D495" t="s">
        <v>1</v>
      </c>
      <c r="E495" s="1">
        <v>3520.5</v>
      </c>
      <c r="F495" s="1">
        <v>12</v>
      </c>
      <c r="G495" s="1">
        <v>42246</v>
      </c>
      <c r="H495" s="1">
        <v>38021.399999999994</v>
      </c>
      <c r="I495" s="1">
        <v>27459.899999999998</v>
      </c>
      <c r="J495" t="s">
        <v>4</v>
      </c>
      <c r="K495">
        <v>2019</v>
      </c>
    </row>
    <row r="496" spans="1:11" hidden="1" x14ac:dyDescent="0.3">
      <c r="A496" t="s">
        <v>6</v>
      </c>
      <c r="B496" t="s">
        <v>9</v>
      </c>
      <c r="C496" t="s">
        <v>11</v>
      </c>
      <c r="D496" t="s">
        <v>1</v>
      </c>
      <c r="E496" s="1">
        <v>2039</v>
      </c>
      <c r="F496" s="1">
        <v>20</v>
      </c>
      <c r="G496" s="1">
        <v>40780</v>
      </c>
      <c r="H496" s="1">
        <v>36702</v>
      </c>
      <c r="I496" s="1">
        <v>16312</v>
      </c>
      <c r="J496" t="s">
        <v>0</v>
      </c>
      <c r="K496">
        <v>2019</v>
      </c>
    </row>
    <row r="497" spans="1:11" hidden="1" x14ac:dyDescent="0.3">
      <c r="A497" t="s">
        <v>3</v>
      </c>
      <c r="B497" t="s">
        <v>41</v>
      </c>
      <c r="C497" t="s">
        <v>11</v>
      </c>
      <c r="D497" t="s">
        <v>1</v>
      </c>
      <c r="E497" s="1">
        <v>2574</v>
      </c>
      <c r="F497" s="1">
        <v>12</v>
      </c>
      <c r="G497" s="1">
        <v>30888</v>
      </c>
      <c r="H497" s="1">
        <v>27799.200000000001</v>
      </c>
      <c r="I497" s="1">
        <v>20077.2</v>
      </c>
      <c r="J497" t="s">
        <v>22</v>
      </c>
      <c r="K497">
        <v>2019</v>
      </c>
    </row>
    <row r="498" spans="1:11" hidden="1" x14ac:dyDescent="0.3">
      <c r="A498" t="s">
        <v>6</v>
      </c>
      <c r="B498" t="s">
        <v>40</v>
      </c>
      <c r="C498" t="s">
        <v>11</v>
      </c>
      <c r="D498" t="s">
        <v>1</v>
      </c>
      <c r="E498" s="1">
        <v>707</v>
      </c>
      <c r="F498" s="1">
        <v>350</v>
      </c>
      <c r="G498" s="1">
        <v>247450</v>
      </c>
      <c r="H498" s="1">
        <v>222705</v>
      </c>
      <c r="I498" s="1">
        <v>38885</v>
      </c>
      <c r="J498" t="s">
        <v>21</v>
      </c>
      <c r="K498">
        <v>2019</v>
      </c>
    </row>
    <row r="499" spans="1:11" hidden="1" x14ac:dyDescent="0.3">
      <c r="A499" t="s">
        <v>18</v>
      </c>
      <c r="B499" t="s">
        <v>14</v>
      </c>
      <c r="C499" t="s">
        <v>11</v>
      </c>
      <c r="D499" t="s">
        <v>1</v>
      </c>
      <c r="E499" s="1">
        <v>2072</v>
      </c>
      <c r="F499" s="1">
        <v>15</v>
      </c>
      <c r="G499" s="1">
        <v>31080</v>
      </c>
      <c r="H499" s="1">
        <v>27972</v>
      </c>
      <c r="I499" s="1">
        <v>7252</v>
      </c>
      <c r="J499" t="s">
        <v>15</v>
      </c>
      <c r="K499">
        <v>2019</v>
      </c>
    </row>
    <row r="500" spans="1:11" hidden="1" x14ac:dyDescent="0.3">
      <c r="A500" t="s">
        <v>12</v>
      </c>
      <c r="B500" t="s">
        <v>14</v>
      </c>
      <c r="C500" t="s">
        <v>11</v>
      </c>
      <c r="D500" t="s">
        <v>1</v>
      </c>
      <c r="E500" s="1">
        <v>853</v>
      </c>
      <c r="F500" s="1">
        <v>300</v>
      </c>
      <c r="G500" s="1">
        <v>255900</v>
      </c>
      <c r="H500" s="1">
        <v>230310</v>
      </c>
      <c r="I500" s="1">
        <v>17060</v>
      </c>
      <c r="J500" t="s">
        <v>15</v>
      </c>
      <c r="K500">
        <v>2019</v>
      </c>
    </row>
    <row r="501" spans="1:11" hidden="1" x14ac:dyDescent="0.3">
      <c r="A501" t="s">
        <v>3</v>
      </c>
      <c r="B501" t="s">
        <v>14</v>
      </c>
      <c r="C501" t="s">
        <v>23</v>
      </c>
      <c r="D501" t="s">
        <v>1</v>
      </c>
      <c r="E501" s="1">
        <v>1198</v>
      </c>
      <c r="F501" s="1">
        <v>12</v>
      </c>
      <c r="G501" s="1">
        <v>14376</v>
      </c>
      <c r="H501" s="1">
        <v>12794.64</v>
      </c>
      <c r="I501" s="1">
        <v>9200.64</v>
      </c>
      <c r="J501" t="s">
        <v>10</v>
      </c>
      <c r="K501">
        <v>2018</v>
      </c>
    </row>
    <row r="502" spans="1:11" hidden="1" x14ac:dyDescent="0.3">
      <c r="A502" t="s">
        <v>6</v>
      </c>
      <c r="B502" t="s">
        <v>14</v>
      </c>
      <c r="C502" t="s">
        <v>5</v>
      </c>
      <c r="D502" t="s">
        <v>1</v>
      </c>
      <c r="E502" s="1">
        <v>2532</v>
      </c>
      <c r="F502" s="1">
        <v>7</v>
      </c>
      <c r="G502" s="1">
        <v>17724</v>
      </c>
      <c r="H502" s="1">
        <v>15774.36</v>
      </c>
      <c r="I502" s="1">
        <v>3114.3599999999997</v>
      </c>
      <c r="J502" t="s">
        <v>4</v>
      </c>
      <c r="K502">
        <v>2019</v>
      </c>
    </row>
    <row r="503" spans="1:11" hidden="1" x14ac:dyDescent="0.3">
      <c r="A503" t="s">
        <v>3</v>
      </c>
      <c r="B503" t="s">
        <v>14</v>
      </c>
      <c r="C503" t="s">
        <v>5</v>
      </c>
      <c r="D503" t="s">
        <v>1</v>
      </c>
      <c r="E503" s="1">
        <v>1198</v>
      </c>
      <c r="F503" s="1">
        <v>12</v>
      </c>
      <c r="G503" s="1">
        <v>14376</v>
      </c>
      <c r="H503" s="1">
        <v>12794.64</v>
      </c>
      <c r="I503" s="1">
        <v>9200.64</v>
      </c>
      <c r="J503" t="s">
        <v>10</v>
      </c>
      <c r="K503">
        <v>2018</v>
      </c>
    </row>
    <row r="504" spans="1:11" hidden="1" x14ac:dyDescent="0.3">
      <c r="A504" t="s">
        <v>18</v>
      </c>
      <c r="B504" t="s">
        <v>40</v>
      </c>
      <c r="C504" t="s">
        <v>20</v>
      </c>
      <c r="D504" t="s">
        <v>1</v>
      </c>
      <c r="E504" s="1">
        <v>384</v>
      </c>
      <c r="F504" s="1">
        <v>15</v>
      </c>
      <c r="G504" s="1">
        <v>5760</v>
      </c>
      <c r="H504" s="1">
        <v>5126.3999999999996</v>
      </c>
      <c r="I504" s="1">
        <v>1286.3999999999999</v>
      </c>
      <c r="J504" t="s">
        <v>24</v>
      </c>
      <c r="K504">
        <v>2019</v>
      </c>
    </row>
    <row r="505" spans="1:11" hidden="1" x14ac:dyDescent="0.3">
      <c r="A505" t="s">
        <v>3</v>
      </c>
      <c r="B505" t="s">
        <v>41</v>
      </c>
      <c r="C505" t="s">
        <v>20</v>
      </c>
      <c r="D505" t="s">
        <v>1</v>
      </c>
      <c r="E505" s="1">
        <v>472</v>
      </c>
      <c r="F505" s="1">
        <v>12</v>
      </c>
      <c r="G505" s="1">
        <v>5664</v>
      </c>
      <c r="H505" s="1">
        <v>5040.96</v>
      </c>
      <c r="I505" s="1">
        <v>3624.96</v>
      </c>
      <c r="J505" t="s">
        <v>10</v>
      </c>
      <c r="K505">
        <v>2019</v>
      </c>
    </row>
    <row r="506" spans="1:11" hidden="1" x14ac:dyDescent="0.3">
      <c r="A506" t="s">
        <v>6</v>
      </c>
      <c r="B506" t="s">
        <v>42</v>
      </c>
      <c r="C506" t="s">
        <v>2</v>
      </c>
      <c r="D506" t="s">
        <v>1</v>
      </c>
      <c r="E506" s="1">
        <v>1579</v>
      </c>
      <c r="F506" s="1">
        <v>7</v>
      </c>
      <c r="G506" s="1">
        <v>11053</v>
      </c>
      <c r="H506" s="1">
        <v>9837.17</v>
      </c>
      <c r="I506" s="1">
        <v>1942.17</v>
      </c>
      <c r="J506" t="s">
        <v>13</v>
      </c>
      <c r="K506">
        <v>2019</v>
      </c>
    </row>
    <row r="507" spans="1:11" hidden="1" x14ac:dyDescent="0.3">
      <c r="A507" t="s">
        <v>3</v>
      </c>
      <c r="B507" t="s">
        <v>9</v>
      </c>
      <c r="C507" t="s">
        <v>2</v>
      </c>
      <c r="D507" t="s">
        <v>1</v>
      </c>
      <c r="E507" s="1">
        <v>1005</v>
      </c>
      <c r="F507" s="1">
        <v>12</v>
      </c>
      <c r="G507" s="1">
        <v>12060</v>
      </c>
      <c r="H507" s="1">
        <v>10733.4</v>
      </c>
      <c r="I507" s="1">
        <v>7718.4</v>
      </c>
      <c r="J507" t="s">
        <v>21</v>
      </c>
      <c r="K507">
        <v>2018</v>
      </c>
    </row>
    <row r="508" spans="1:11" hidden="1" x14ac:dyDescent="0.3">
      <c r="A508" t="s">
        <v>18</v>
      </c>
      <c r="B508" t="s">
        <v>42</v>
      </c>
      <c r="C508" t="s">
        <v>11</v>
      </c>
      <c r="D508" t="s">
        <v>1</v>
      </c>
      <c r="E508" s="1">
        <v>3199.5</v>
      </c>
      <c r="F508" s="1">
        <v>15</v>
      </c>
      <c r="G508" s="1">
        <v>47992.5</v>
      </c>
      <c r="H508" s="1">
        <v>42713.324999999997</v>
      </c>
      <c r="I508" s="1">
        <v>10718.324999999999</v>
      </c>
      <c r="J508" t="s">
        <v>19</v>
      </c>
      <c r="K508">
        <v>2019</v>
      </c>
    </row>
    <row r="509" spans="1:11" hidden="1" x14ac:dyDescent="0.3">
      <c r="A509" t="s">
        <v>3</v>
      </c>
      <c r="B509" t="s">
        <v>41</v>
      </c>
      <c r="C509" t="s">
        <v>11</v>
      </c>
      <c r="D509" t="s">
        <v>1</v>
      </c>
      <c r="E509" s="1">
        <v>472</v>
      </c>
      <c r="F509" s="1">
        <v>12</v>
      </c>
      <c r="G509" s="1">
        <v>5664</v>
      </c>
      <c r="H509" s="1">
        <v>5040.96</v>
      </c>
      <c r="I509" s="1">
        <v>3624.96</v>
      </c>
      <c r="J509" t="s">
        <v>10</v>
      </c>
      <c r="K509">
        <v>2019</v>
      </c>
    </row>
    <row r="510" spans="1:11" x14ac:dyDescent="0.3">
      <c r="A510" t="s">
        <v>3</v>
      </c>
      <c r="B510" t="s">
        <v>40</v>
      </c>
      <c r="C510" t="s">
        <v>23</v>
      </c>
      <c r="D510" t="s">
        <v>1</v>
      </c>
      <c r="E510" s="1">
        <v>1937</v>
      </c>
      <c r="F510" s="1">
        <v>12</v>
      </c>
      <c r="G510" s="1">
        <v>23244</v>
      </c>
      <c r="H510" s="1">
        <v>20687.16</v>
      </c>
      <c r="I510" s="1">
        <v>14876.16</v>
      </c>
      <c r="J510" t="s">
        <v>7</v>
      </c>
      <c r="K510">
        <v>2019</v>
      </c>
    </row>
    <row r="511" spans="1:11" hidden="1" x14ac:dyDescent="0.3">
      <c r="A511" t="s">
        <v>6</v>
      </c>
      <c r="B511" t="s">
        <v>41</v>
      </c>
      <c r="C511" t="s">
        <v>23</v>
      </c>
      <c r="D511" t="s">
        <v>1</v>
      </c>
      <c r="E511" s="1">
        <v>792</v>
      </c>
      <c r="F511" s="1">
        <v>350</v>
      </c>
      <c r="G511" s="1">
        <v>277200</v>
      </c>
      <c r="H511" s="1">
        <v>246708</v>
      </c>
      <c r="I511" s="1">
        <v>40788</v>
      </c>
      <c r="J511" t="s">
        <v>13</v>
      </c>
      <c r="K511">
        <v>2019</v>
      </c>
    </row>
    <row r="512" spans="1:11" hidden="1" x14ac:dyDescent="0.3">
      <c r="A512" t="s">
        <v>12</v>
      </c>
      <c r="B512" t="s">
        <v>41</v>
      </c>
      <c r="C512" t="s">
        <v>23</v>
      </c>
      <c r="D512" t="s">
        <v>1</v>
      </c>
      <c r="E512" s="1">
        <v>2811</v>
      </c>
      <c r="F512" s="1">
        <v>300</v>
      </c>
      <c r="G512" s="1">
        <v>843300</v>
      </c>
      <c r="H512" s="1">
        <v>750537</v>
      </c>
      <c r="I512" s="1">
        <v>47787</v>
      </c>
      <c r="J512" t="s">
        <v>19</v>
      </c>
      <c r="K512">
        <v>2019</v>
      </c>
    </row>
    <row r="513" spans="1:11" hidden="1" x14ac:dyDescent="0.3">
      <c r="A513" t="s">
        <v>17</v>
      </c>
      <c r="B513" t="s">
        <v>14</v>
      </c>
      <c r="C513" t="s">
        <v>23</v>
      </c>
      <c r="D513" t="s">
        <v>1</v>
      </c>
      <c r="E513" s="1">
        <v>2441</v>
      </c>
      <c r="F513" s="1">
        <v>125</v>
      </c>
      <c r="G513" s="1">
        <v>305125</v>
      </c>
      <c r="H513" s="1">
        <v>271561.25</v>
      </c>
      <c r="I513" s="1">
        <v>-21358.75</v>
      </c>
      <c r="J513" t="s">
        <v>10</v>
      </c>
      <c r="K513">
        <v>2019</v>
      </c>
    </row>
    <row r="514" spans="1:11" hidden="1" x14ac:dyDescent="0.3">
      <c r="A514" t="s">
        <v>18</v>
      </c>
      <c r="B514" t="s">
        <v>40</v>
      </c>
      <c r="C514" t="s">
        <v>23</v>
      </c>
      <c r="D514" t="s">
        <v>1</v>
      </c>
      <c r="E514" s="1">
        <v>1560</v>
      </c>
      <c r="F514" s="1">
        <v>15</v>
      </c>
      <c r="G514" s="1">
        <v>23400</v>
      </c>
      <c r="H514" s="1">
        <v>20826</v>
      </c>
      <c r="I514" s="1">
        <v>5226</v>
      </c>
      <c r="J514" t="s">
        <v>16</v>
      </c>
      <c r="K514">
        <v>2018</v>
      </c>
    </row>
    <row r="515" spans="1:11" hidden="1" x14ac:dyDescent="0.3">
      <c r="A515" t="s">
        <v>6</v>
      </c>
      <c r="B515" t="s">
        <v>9</v>
      </c>
      <c r="C515" t="s">
        <v>23</v>
      </c>
      <c r="D515" t="s">
        <v>1</v>
      </c>
      <c r="E515" s="1">
        <v>2706</v>
      </c>
      <c r="F515" s="1">
        <v>7</v>
      </c>
      <c r="G515" s="1">
        <v>18942</v>
      </c>
      <c r="H515" s="1">
        <v>16858.38</v>
      </c>
      <c r="I515" s="1">
        <v>3328.380000000001</v>
      </c>
      <c r="J515" t="s">
        <v>16</v>
      </c>
      <c r="K515">
        <v>2018</v>
      </c>
    </row>
    <row r="516" spans="1:11" hidden="1" x14ac:dyDescent="0.3">
      <c r="A516" t="s">
        <v>6</v>
      </c>
      <c r="B516" t="s">
        <v>41</v>
      </c>
      <c r="C516" t="s">
        <v>8</v>
      </c>
      <c r="D516" t="s">
        <v>1</v>
      </c>
      <c r="E516" s="1">
        <v>766</v>
      </c>
      <c r="F516" s="1">
        <v>350</v>
      </c>
      <c r="G516" s="1">
        <v>268100</v>
      </c>
      <c r="H516" s="1">
        <v>238609</v>
      </c>
      <c r="I516" s="1">
        <v>39449</v>
      </c>
      <c r="J516" t="s">
        <v>24</v>
      </c>
      <c r="K516">
        <v>2019</v>
      </c>
    </row>
    <row r="517" spans="1:11" hidden="1" x14ac:dyDescent="0.3">
      <c r="A517" t="s">
        <v>6</v>
      </c>
      <c r="B517" t="s">
        <v>41</v>
      </c>
      <c r="C517" t="s">
        <v>8</v>
      </c>
      <c r="D517" t="s">
        <v>1</v>
      </c>
      <c r="E517" s="1">
        <v>2992</v>
      </c>
      <c r="F517" s="1">
        <v>20</v>
      </c>
      <c r="G517" s="1">
        <v>59840</v>
      </c>
      <c r="H517" s="1">
        <v>53257.599999999999</v>
      </c>
      <c r="I517" s="1">
        <v>23337.599999999999</v>
      </c>
      <c r="J517" t="s">
        <v>10</v>
      </c>
      <c r="K517">
        <v>2018</v>
      </c>
    </row>
    <row r="518" spans="1:11" hidden="1" x14ac:dyDescent="0.3">
      <c r="A518" t="s">
        <v>18</v>
      </c>
      <c r="B518" t="s">
        <v>9</v>
      </c>
      <c r="C518" t="s">
        <v>8</v>
      </c>
      <c r="D518" t="s">
        <v>1</v>
      </c>
      <c r="E518" s="1">
        <v>2157</v>
      </c>
      <c r="F518" s="1">
        <v>15</v>
      </c>
      <c r="G518" s="1">
        <v>32355</v>
      </c>
      <c r="H518" s="1">
        <v>28795.95</v>
      </c>
      <c r="I518" s="1">
        <v>7225.9500000000007</v>
      </c>
      <c r="J518" t="s">
        <v>15</v>
      </c>
      <c r="K518">
        <v>2019</v>
      </c>
    </row>
    <row r="519" spans="1:11" hidden="1" x14ac:dyDescent="0.3">
      <c r="A519" t="s">
        <v>12</v>
      </c>
      <c r="B519" t="s">
        <v>40</v>
      </c>
      <c r="C519" t="s">
        <v>5</v>
      </c>
      <c r="D519" t="s">
        <v>1</v>
      </c>
      <c r="E519" s="1">
        <v>873</v>
      </c>
      <c r="F519" s="1">
        <v>300</v>
      </c>
      <c r="G519" s="1">
        <v>261900</v>
      </c>
      <c r="H519" s="1">
        <v>233091</v>
      </c>
      <c r="I519" s="1">
        <v>14841</v>
      </c>
      <c r="J519" t="s">
        <v>24</v>
      </c>
      <c r="K519">
        <v>2019</v>
      </c>
    </row>
    <row r="520" spans="1:11" hidden="1" x14ac:dyDescent="0.3">
      <c r="A520" t="s">
        <v>6</v>
      </c>
      <c r="B520" t="s">
        <v>9</v>
      </c>
      <c r="C520" t="s">
        <v>5</v>
      </c>
      <c r="D520" t="s">
        <v>1</v>
      </c>
      <c r="E520" s="1">
        <v>1122</v>
      </c>
      <c r="F520" s="1">
        <v>20</v>
      </c>
      <c r="G520" s="1">
        <v>22440</v>
      </c>
      <c r="H520" s="1">
        <v>19971.599999999999</v>
      </c>
      <c r="I520" s="1">
        <v>8751.5999999999985</v>
      </c>
      <c r="J520" t="s">
        <v>13</v>
      </c>
      <c r="K520">
        <v>2019</v>
      </c>
    </row>
    <row r="521" spans="1:11" hidden="1" x14ac:dyDescent="0.3">
      <c r="A521" t="s">
        <v>6</v>
      </c>
      <c r="B521" t="s">
        <v>40</v>
      </c>
      <c r="C521" t="s">
        <v>5</v>
      </c>
      <c r="D521" t="s">
        <v>1</v>
      </c>
      <c r="E521" s="1">
        <v>2104.5</v>
      </c>
      <c r="F521" s="1">
        <v>350</v>
      </c>
      <c r="G521" s="1">
        <v>736575</v>
      </c>
      <c r="H521" s="1">
        <v>655551.75</v>
      </c>
      <c r="I521" s="1">
        <v>108381.75</v>
      </c>
      <c r="J521" t="s">
        <v>19</v>
      </c>
      <c r="K521">
        <v>2019</v>
      </c>
    </row>
    <row r="522" spans="1:11" x14ac:dyDescent="0.3">
      <c r="A522" t="s">
        <v>3</v>
      </c>
      <c r="B522" t="s">
        <v>40</v>
      </c>
      <c r="C522" t="s">
        <v>5</v>
      </c>
      <c r="D522" t="s">
        <v>1</v>
      </c>
      <c r="E522" s="1">
        <v>4026</v>
      </c>
      <c r="F522" s="1">
        <v>12</v>
      </c>
      <c r="G522" s="1">
        <v>48312</v>
      </c>
      <c r="H522" s="1">
        <v>42997.68</v>
      </c>
      <c r="I522" s="1">
        <v>30919.68</v>
      </c>
      <c r="J522" t="s">
        <v>19</v>
      </c>
      <c r="K522">
        <v>2019</v>
      </c>
    </row>
    <row r="523" spans="1:11" hidden="1" x14ac:dyDescent="0.3">
      <c r="A523" t="s">
        <v>3</v>
      </c>
      <c r="B523" t="s">
        <v>14</v>
      </c>
      <c r="C523" t="s">
        <v>5</v>
      </c>
      <c r="D523" t="s">
        <v>1</v>
      </c>
      <c r="E523" s="1">
        <v>2425.5</v>
      </c>
      <c r="F523" s="1">
        <v>12</v>
      </c>
      <c r="G523" s="1">
        <v>29106</v>
      </c>
      <c r="H523" s="1">
        <v>25904.340000000004</v>
      </c>
      <c r="I523" s="1">
        <v>18627.840000000004</v>
      </c>
      <c r="J523" t="s">
        <v>19</v>
      </c>
      <c r="K523">
        <v>2019</v>
      </c>
    </row>
    <row r="524" spans="1:11" hidden="1" x14ac:dyDescent="0.3">
      <c r="A524" t="s">
        <v>6</v>
      </c>
      <c r="B524" t="s">
        <v>40</v>
      </c>
      <c r="C524" t="s">
        <v>5</v>
      </c>
      <c r="D524" t="s">
        <v>1</v>
      </c>
      <c r="E524" s="1">
        <v>2394</v>
      </c>
      <c r="F524" s="1">
        <v>20</v>
      </c>
      <c r="G524" s="1">
        <v>47880</v>
      </c>
      <c r="H524" s="1">
        <v>42613.2</v>
      </c>
      <c r="I524" s="1">
        <v>18673.199999999997</v>
      </c>
      <c r="J524" t="s">
        <v>22</v>
      </c>
      <c r="K524">
        <v>2019</v>
      </c>
    </row>
    <row r="525" spans="1:11" hidden="1" x14ac:dyDescent="0.3">
      <c r="A525" t="s">
        <v>18</v>
      </c>
      <c r="B525" t="s">
        <v>9</v>
      </c>
      <c r="C525" t="s">
        <v>5</v>
      </c>
      <c r="D525" t="s">
        <v>1</v>
      </c>
      <c r="E525" s="1">
        <v>1984</v>
      </c>
      <c r="F525" s="1">
        <v>15</v>
      </c>
      <c r="G525" s="1">
        <v>29760</v>
      </c>
      <c r="H525" s="1">
        <v>26486.400000000001</v>
      </c>
      <c r="I525" s="1">
        <v>6646.4000000000015</v>
      </c>
      <c r="J525" t="s">
        <v>22</v>
      </c>
      <c r="K525">
        <v>2019</v>
      </c>
    </row>
    <row r="526" spans="1:11" hidden="1" x14ac:dyDescent="0.3">
      <c r="A526" t="s">
        <v>17</v>
      </c>
      <c r="B526" t="s">
        <v>14</v>
      </c>
      <c r="C526" t="s">
        <v>5</v>
      </c>
      <c r="D526" t="s">
        <v>1</v>
      </c>
      <c r="E526" s="1">
        <v>2441</v>
      </c>
      <c r="F526" s="1">
        <v>125</v>
      </c>
      <c r="G526" s="1">
        <v>305125</v>
      </c>
      <c r="H526" s="1">
        <v>271561.25</v>
      </c>
      <c r="I526" s="1">
        <v>-21358.75</v>
      </c>
      <c r="J526" t="s">
        <v>10</v>
      </c>
      <c r="K526">
        <v>2019</v>
      </c>
    </row>
    <row r="527" spans="1:11" hidden="1" x14ac:dyDescent="0.3">
      <c r="A527" t="s">
        <v>6</v>
      </c>
      <c r="B527" t="s">
        <v>41</v>
      </c>
      <c r="C527" t="s">
        <v>5</v>
      </c>
      <c r="D527" t="s">
        <v>1</v>
      </c>
      <c r="E527" s="1">
        <v>2992</v>
      </c>
      <c r="F527" s="1">
        <v>20</v>
      </c>
      <c r="G527" s="1">
        <v>59840</v>
      </c>
      <c r="H527" s="1">
        <v>53257.599999999999</v>
      </c>
      <c r="I527" s="1">
        <v>23337.599999999999</v>
      </c>
      <c r="J527" t="s">
        <v>10</v>
      </c>
      <c r="K527">
        <v>2018</v>
      </c>
    </row>
    <row r="528" spans="1:11" hidden="1" x14ac:dyDescent="0.3">
      <c r="A528" t="s">
        <v>12</v>
      </c>
      <c r="B528" t="s">
        <v>40</v>
      </c>
      <c r="C528" t="s">
        <v>5</v>
      </c>
      <c r="D528" t="s">
        <v>1</v>
      </c>
      <c r="E528" s="1">
        <v>1366</v>
      </c>
      <c r="F528" s="1">
        <v>300</v>
      </c>
      <c r="G528" s="1">
        <v>409800</v>
      </c>
      <c r="H528" s="1">
        <v>364722</v>
      </c>
      <c r="I528" s="1">
        <v>23222</v>
      </c>
      <c r="J528" t="s">
        <v>16</v>
      </c>
      <c r="K528">
        <v>2019</v>
      </c>
    </row>
    <row r="529" spans="1:11" hidden="1" x14ac:dyDescent="0.3">
      <c r="A529" t="s">
        <v>6</v>
      </c>
      <c r="B529" t="s">
        <v>14</v>
      </c>
      <c r="C529" t="s">
        <v>20</v>
      </c>
      <c r="D529" t="s">
        <v>1</v>
      </c>
      <c r="E529" s="1">
        <v>2805</v>
      </c>
      <c r="F529" s="1">
        <v>20</v>
      </c>
      <c r="G529" s="1">
        <v>56100</v>
      </c>
      <c r="H529" s="1">
        <v>49929</v>
      </c>
      <c r="I529" s="1">
        <v>21879</v>
      </c>
      <c r="J529" t="s">
        <v>21</v>
      </c>
      <c r="K529">
        <v>2018</v>
      </c>
    </row>
    <row r="530" spans="1:11" hidden="1" x14ac:dyDescent="0.3">
      <c r="A530" t="s">
        <v>18</v>
      </c>
      <c r="B530" t="s">
        <v>9</v>
      </c>
      <c r="C530" t="s">
        <v>20</v>
      </c>
      <c r="D530" t="s">
        <v>1</v>
      </c>
      <c r="E530" s="1">
        <v>655</v>
      </c>
      <c r="F530" s="1">
        <v>15</v>
      </c>
      <c r="G530" s="1">
        <v>9825</v>
      </c>
      <c r="H530" s="1">
        <v>8744.25</v>
      </c>
      <c r="I530" s="1">
        <v>2194.25</v>
      </c>
      <c r="J530" t="s">
        <v>21</v>
      </c>
      <c r="K530">
        <v>2018</v>
      </c>
    </row>
    <row r="531" spans="1:11" hidden="1" x14ac:dyDescent="0.3">
      <c r="A531" t="s">
        <v>6</v>
      </c>
      <c r="B531" t="s">
        <v>9</v>
      </c>
      <c r="C531" t="s">
        <v>20</v>
      </c>
      <c r="D531" t="s">
        <v>1</v>
      </c>
      <c r="E531" s="1">
        <v>344</v>
      </c>
      <c r="F531" s="1">
        <v>350</v>
      </c>
      <c r="G531" s="1">
        <v>120400</v>
      </c>
      <c r="H531" s="1">
        <v>107156</v>
      </c>
      <c r="I531" s="1">
        <v>17716</v>
      </c>
      <c r="J531" t="s">
        <v>10</v>
      </c>
      <c r="K531">
        <v>2018</v>
      </c>
    </row>
    <row r="532" spans="1:11" hidden="1" x14ac:dyDescent="0.3">
      <c r="A532" t="s">
        <v>6</v>
      </c>
      <c r="B532" t="s">
        <v>40</v>
      </c>
      <c r="C532" t="s">
        <v>20</v>
      </c>
      <c r="D532" t="s">
        <v>1</v>
      </c>
      <c r="E532" s="1">
        <v>1808</v>
      </c>
      <c r="F532" s="1">
        <v>7</v>
      </c>
      <c r="G532" s="1">
        <v>12656</v>
      </c>
      <c r="H532" s="1">
        <v>11263.84</v>
      </c>
      <c r="I532" s="1">
        <v>2223.84</v>
      </c>
      <c r="J532" t="s">
        <v>16</v>
      </c>
      <c r="K532">
        <v>2019</v>
      </c>
    </row>
    <row r="533" spans="1:11" hidden="1" x14ac:dyDescent="0.3">
      <c r="A533" t="s">
        <v>3</v>
      </c>
      <c r="B533" t="s">
        <v>14</v>
      </c>
      <c r="C533" t="s">
        <v>2</v>
      </c>
      <c r="D533" t="s">
        <v>1</v>
      </c>
      <c r="E533" s="1">
        <v>1734</v>
      </c>
      <c r="F533" s="1">
        <v>12</v>
      </c>
      <c r="G533" s="1">
        <v>20808</v>
      </c>
      <c r="H533" s="1">
        <v>18519.12</v>
      </c>
      <c r="I533" s="1">
        <v>13317.119999999999</v>
      </c>
      <c r="J533" t="s">
        <v>24</v>
      </c>
      <c r="K533">
        <v>2019</v>
      </c>
    </row>
    <row r="534" spans="1:11" hidden="1" x14ac:dyDescent="0.3">
      <c r="A534" t="s">
        <v>17</v>
      </c>
      <c r="B534" t="s">
        <v>9</v>
      </c>
      <c r="C534" t="s">
        <v>2</v>
      </c>
      <c r="D534" t="s">
        <v>1</v>
      </c>
      <c r="E534" s="1">
        <v>554</v>
      </c>
      <c r="F534" s="1">
        <v>125</v>
      </c>
      <c r="G534" s="1">
        <v>69250</v>
      </c>
      <c r="H534" s="1">
        <v>61632.5</v>
      </c>
      <c r="I534" s="1">
        <v>-4847.5</v>
      </c>
      <c r="J534" t="s">
        <v>24</v>
      </c>
      <c r="K534">
        <v>2019</v>
      </c>
    </row>
    <row r="535" spans="1:11" hidden="1" x14ac:dyDescent="0.3">
      <c r="A535" t="s">
        <v>6</v>
      </c>
      <c r="B535" t="s">
        <v>40</v>
      </c>
      <c r="C535" t="s">
        <v>2</v>
      </c>
      <c r="D535" t="s">
        <v>1</v>
      </c>
      <c r="E535" s="1">
        <v>2935</v>
      </c>
      <c r="F535" s="1">
        <v>20</v>
      </c>
      <c r="G535" s="1">
        <v>58700</v>
      </c>
      <c r="H535" s="1">
        <v>52243</v>
      </c>
      <c r="I535" s="1">
        <v>22893</v>
      </c>
      <c r="J535" t="s">
        <v>16</v>
      </c>
      <c r="K535">
        <v>2018</v>
      </c>
    </row>
    <row r="536" spans="1:11" hidden="1" x14ac:dyDescent="0.3">
      <c r="A536" t="s">
        <v>17</v>
      </c>
      <c r="B536" t="s">
        <v>41</v>
      </c>
      <c r="C536" t="s">
        <v>11</v>
      </c>
      <c r="D536" t="s">
        <v>1</v>
      </c>
      <c r="E536" s="1">
        <v>3165</v>
      </c>
      <c r="F536" s="1">
        <v>125</v>
      </c>
      <c r="G536" s="1">
        <v>395625</v>
      </c>
      <c r="H536" s="1">
        <v>352106.25</v>
      </c>
      <c r="I536" s="1">
        <v>-27693.75</v>
      </c>
      <c r="J536" t="s">
        <v>24</v>
      </c>
      <c r="K536">
        <v>2019</v>
      </c>
    </row>
    <row r="537" spans="1:11" hidden="1" x14ac:dyDescent="0.3">
      <c r="A537" t="s">
        <v>6</v>
      </c>
      <c r="B537" t="s">
        <v>9</v>
      </c>
      <c r="C537" t="s">
        <v>11</v>
      </c>
      <c r="D537" t="s">
        <v>1</v>
      </c>
      <c r="E537" s="1">
        <v>2629</v>
      </c>
      <c r="F537" s="1">
        <v>20</v>
      </c>
      <c r="G537" s="1">
        <v>52580</v>
      </c>
      <c r="H537" s="1">
        <v>46796.2</v>
      </c>
      <c r="I537" s="1">
        <v>20506.199999999997</v>
      </c>
      <c r="J537" t="s">
        <v>24</v>
      </c>
      <c r="K537">
        <v>2019</v>
      </c>
    </row>
    <row r="538" spans="1:11" hidden="1" x14ac:dyDescent="0.3">
      <c r="A538" t="s">
        <v>17</v>
      </c>
      <c r="B538" t="s">
        <v>14</v>
      </c>
      <c r="C538" t="s">
        <v>11</v>
      </c>
      <c r="D538" t="s">
        <v>1</v>
      </c>
      <c r="E538" s="1">
        <v>1433</v>
      </c>
      <c r="F538" s="1">
        <v>125</v>
      </c>
      <c r="G538" s="1">
        <v>179125</v>
      </c>
      <c r="H538" s="1">
        <v>159421.25</v>
      </c>
      <c r="I538" s="1">
        <v>-12538.75</v>
      </c>
      <c r="J538" t="s">
        <v>0</v>
      </c>
      <c r="K538">
        <v>2019</v>
      </c>
    </row>
    <row r="539" spans="1:11" hidden="1" x14ac:dyDescent="0.3">
      <c r="A539" t="s">
        <v>17</v>
      </c>
      <c r="B539" t="s">
        <v>9</v>
      </c>
      <c r="C539" t="s">
        <v>11</v>
      </c>
      <c r="D539" t="s">
        <v>1</v>
      </c>
      <c r="E539" s="1">
        <v>947</v>
      </c>
      <c r="F539" s="1">
        <v>125</v>
      </c>
      <c r="G539" s="1">
        <v>118375</v>
      </c>
      <c r="H539" s="1">
        <v>105353.75</v>
      </c>
      <c r="I539" s="1">
        <v>-8286.25</v>
      </c>
      <c r="J539" t="s">
        <v>21</v>
      </c>
      <c r="K539">
        <v>2018</v>
      </c>
    </row>
    <row r="540" spans="1:11" hidden="1" x14ac:dyDescent="0.3">
      <c r="A540" t="s">
        <v>6</v>
      </c>
      <c r="B540" t="s">
        <v>9</v>
      </c>
      <c r="C540" t="s">
        <v>11</v>
      </c>
      <c r="D540" t="s">
        <v>1</v>
      </c>
      <c r="E540" s="1">
        <v>344</v>
      </c>
      <c r="F540" s="1">
        <v>350</v>
      </c>
      <c r="G540" s="1">
        <v>120400</v>
      </c>
      <c r="H540" s="1">
        <v>107156</v>
      </c>
      <c r="I540" s="1">
        <v>17716</v>
      </c>
      <c r="J540" t="s">
        <v>10</v>
      </c>
      <c r="K540">
        <v>2018</v>
      </c>
    </row>
    <row r="541" spans="1:11" hidden="1" x14ac:dyDescent="0.3">
      <c r="A541" t="s">
        <v>18</v>
      </c>
      <c r="B541" t="s">
        <v>9</v>
      </c>
      <c r="C541" t="s">
        <v>11</v>
      </c>
      <c r="D541" t="s">
        <v>1</v>
      </c>
      <c r="E541" s="1">
        <v>2157</v>
      </c>
      <c r="F541" s="1">
        <v>15</v>
      </c>
      <c r="G541" s="1">
        <v>32355</v>
      </c>
      <c r="H541" s="1">
        <v>28795.95</v>
      </c>
      <c r="I541" s="1">
        <v>7225.9500000000007</v>
      </c>
      <c r="J541" t="s">
        <v>15</v>
      </c>
      <c r="K541">
        <v>2019</v>
      </c>
    </row>
    <row r="542" spans="1:11" hidden="1" x14ac:dyDescent="0.3">
      <c r="A542" t="s">
        <v>6</v>
      </c>
      <c r="B542" t="s">
        <v>42</v>
      </c>
      <c r="C542" t="s">
        <v>5</v>
      </c>
      <c r="D542" t="s">
        <v>1</v>
      </c>
      <c r="E542" s="1">
        <v>380</v>
      </c>
      <c r="F542" s="1">
        <v>7</v>
      </c>
      <c r="G542" s="1">
        <v>2660</v>
      </c>
      <c r="H542" s="1">
        <v>2367.4</v>
      </c>
      <c r="I542" s="1">
        <v>467.40000000000009</v>
      </c>
      <c r="J542" t="s">
        <v>21</v>
      </c>
      <c r="K542">
        <v>2018</v>
      </c>
    </row>
    <row r="543" spans="1:11" hidden="1" x14ac:dyDescent="0.3">
      <c r="A543" t="s">
        <v>6</v>
      </c>
      <c r="B543" t="s">
        <v>9</v>
      </c>
      <c r="C543" t="s">
        <v>23</v>
      </c>
      <c r="D543" t="s">
        <v>1</v>
      </c>
      <c r="E543" s="1">
        <v>886</v>
      </c>
      <c r="F543" s="1">
        <v>350</v>
      </c>
      <c r="G543" s="1">
        <v>310100</v>
      </c>
      <c r="H543" s="1">
        <v>272888</v>
      </c>
      <c r="I543" s="1">
        <v>42528</v>
      </c>
      <c r="J543" t="s">
        <v>25</v>
      </c>
      <c r="K543">
        <v>2019</v>
      </c>
    </row>
    <row r="544" spans="1:11" hidden="1" x14ac:dyDescent="0.3">
      <c r="A544" t="s">
        <v>17</v>
      </c>
      <c r="B544" t="s">
        <v>40</v>
      </c>
      <c r="C544" t="s">
        <v>23</v>
      </c>
      <c r="D544" t="s">
        <v>1</v>
      </c>
      <c r="E544" s="1">
        <v>2416</v>
      </c>
      <c r="F544" s="1">
        <v>125</v>
      </c>
      <c r="G544" s="1">
        <v>302000</v>
      </c>
      <c r="H544" s="1">
        <v>265760</v>
      </c>
      <c r="I544" s="1">
        <v>-24160</v>
      </c>
      <c r="J544" t="s">
        <v>21</v>
      </c>
      <c r="K544">
        <v>2018</v>
      </c>
    </row>
    <row r="545" spans="1:11" hidden="1" x14ac:dyDescent="0.3">
      <c r="A545" t="s">
        <v>17</v>
      </c>
      <c r="B545" t="s">
        <v>9</v>
      </c>
      <c r="C545" t="s">
        <v>23</v>
      </c>
      <c r="D545" t="s">
        <v>1</v>
      </c>
      <c r="E545" s="1">
        <v>2156</v>
      </c>
      <c r="F545" s="1">
        <v>125</v>
      </c>
      <c r="G545" s="1">
        <v>269500</v>
      </c>
      <c r="H545" s="1">
        <v>237160</v>
      </c>
      <c r="I545" s="1">
        <v>-21560</v>
      </c>
      <c r="J545" t="s">
        <v>10</v>
      </c>
      <c r="K545">
        <v>2019</v>
      </c>
    </row>
    <row r="546" spans="1:11" hidden="1" x14ac:dyDescent="0.3">
      <c r="A546" t="s">
        <v>18</v>
      </c>
      <c r="B546" t="s">
        <v>40</v>
      </c>
      <c r="C546" t="s">
        <v>23</v>
      </c>
      <c r="D546" t="s">
        <v>1</v>
      </c>
      <c r="E546" s="1">
        <v>2689</v>
      </c>
      <c r="F546" s="1">
        <v>15</v>
      </c>
      <c r="G546" s="1">
        <v>40335</v>
      </c>
      <c r="H546" s="1">
        <v>35494.800000000003</v>
      </c>
      <c r="I546" s="1">
        <v>8604.8000000000029</v>
      </c>
      <c r="J546" t="s">
        <v>16</v>
      </c>
      <c r="K546">
        <v>2019</v>
      </c>
    </row>
    <row r="547" spans="1:11" hidden="1" x14ac:dyDescent="0.3">
      <c r="A547" t="s">
        <v>18</v>
      </c>
      <c r="B547" t="s">
        <v>42</v>
      </c>
      <c r="C547" t="s">
        <v>8</v>
      </c>
      <c r="D547" t="s">
        <v>1</v>
      </c>
      <c r="E547" s="1">
        <v>677</v>
      </c>
      <c r="F547" s="1">
        <v>15</v>
      </c>
      <c r="G547" s="1">
        <v>10155</v>
      </c>
      <c r="H547" s="1">
        <v>8936.4</v>
      </c>
      <c r="I547" s="1">
        <v>2166.3999999999996</v>
      </c>
      <c r="J547" t="s">
        <v>13</v>
      </c>
      <c r="K547">
        <v>2019</v>
      </c>
    </row>
    <row r="548" spans="1:11" hidden="1" x14ac:dyDescent="0.3">
      <c r="A548" t="s">
        <v>12</v>
      </c>
      <c r="B548" t="s">
        <v>14</v>
      </c>
      <c r="C548" t="s">
        <v>8</v>
      </c>
      <c r="D548" t="s">
        <v>1</v>
      </c>
      <c r="E548" s="1">
        <v>1773</v>
      </c>
      <c r="F548" s="1">
        <v>300</v>
      </c>
      <c r="G548" s="1">
        <v>531900</v>
      </c>
      <c r="H548" s="1">
        <v>468072</v>
      </c>
      <c r="I548" s="1">
        <v>24822</v>
      </c>
      <c r="J548" t="s">
        <v>4</v>
      </c>
      <c r="K548">
        <v>2019</v>
      </c>
    </row>
    <row r="549" spans="1:11" hidden="1" x14ac:dyDescent="0.3">
      <c r="A549" t="s">
        <v>6</v>
      </c>
      <c r="B549" t="s">
        <v>9</v>
      </c>
      <c r="C549" t="s">
        <v>8</v>
      </c>
      <c r="D549" t="s">
        <v>1</v>
      </c>
      <c r="E549" s="1">
        <v>2420</v>
      </c>
      <c r="F549" s="1">
        <v>7</v>
      </c>
      <c r="G549" s="1">
        <v>16940</v>
      </c>
      <c r="H549" s="1">
        <v>14907.2</v>
      </c>
      <c r="I549" s="1">
        <v>2807.2000000000007</v>
      </c>
      <c r="J549" t="s">
        <v>21</v>
      </c>
      <c r="K549">
        <v>2019</v>
      </c>
    </row>
    <row r="550" spans="1:11" hidden="1" x14ac:dyDescent="0.3">
      <c r="A550" t="s">
        <v>6</v>
      </c>
      <c r="B550" t="s">
        <v>40</v>
      </c>
      <c r="C550" t="s">
        <v>8</v>
      </c>
      <c r="D550" t="s">
        <v>1</v>
      </c>
      <c r="E550" s="1">
        <v>2734</v>
      </c>
      <c r="F550" s="1">
        <v>7</v>
      </c>
      <c r="G550" s="1">
        <v>19138</v>
      </c>
      <c r="H550" s="1">
        <v>16841.439999999999</v>
      </c>
      <c r="I550" s="1">
        <v>3171.4399999999987</v>
      </c>
      <c r="J550" t="s">
        <v>10</v>
      </c>
      <c r="K550">
        <v>2019</v>
      </c>
    </row>
    <row r="551" spans="1:11" hidden="1" x14ac:dyDescent="0.3">
      <c r="A551" t="s">
        <v>6</v>
      </c>
      <c r="B551" t="s">
        <v>9</v>
      </c>
      <c r="C551" t="s">
        <v>8</v>
      </c>
      <c r="D551" t="s">
        <v>1</v>
      </c>
      <c r="E551" s="1">
        <v>1715</v>
      </c>
      <c r="F551" s="1">
        <v>20</v>
      </c>
      <c r="G551" s="1">
        <v>34300</v>
      </c>
      <c r="H551" s="1">
        <v>30184</v>
      </c>
      <c r="I551" s="1">
        <v>13034</v>
      </c>
      <c r="J551" t="s">
        <v>10</v>
      </c>
      <c r="K551">
        <v>2018</v>
      </c>
    </row>
    <row r="552" spans="1:11" hidden="1" x14ac:dyDescent="0.3">
      <c r="A552" t="s">
        <v>12</v>
      </c>
      <c r="B552" t="s">
        <v>14</v>
      </c>
      <c r="C552" t="s">
        <v>8</v>
      </c>
      <c r="D552" t="s">
        <v>1</v>
      </c>
      <c r="E552" s="1">
        <v>1186</v>
      </c>
      <c r="F552" s="1">
        <v>300</v>
      </c>
      <c r="G552" s="1">
        <v>355800</v>
      </c>
      <c r="H552" s="1">
        <v>313104</v>
      </c>
      <c r="I552" s="1">
        <v>16604</v>
      </c>
      <c r="J552" t="s">
        <v>15</v>
      </c>
      <c r="K552">
        <v>2018</v>
      </c>
    </row>
    <row r="553" spans="1:11" hidden="1" x14ac:dyDescent="0.3">
      <c r="A553" t="s">
        <v>12</v>
      </c>
      <c r="B553" t="s">
        <v>42</v>
      </c>
      <c r="C553" t="s">
        <v>5</v>
      </c>
      <c r="D553" t="s">
        <v>1</v>
      </c>
      <c r="E553" s="1">
        <v>3495</v>
      </c>
      <c r="F553" s="1">
        <v>300</v>
      </c>
      <c r="G553" s="1">
        <v>1048500</v>
      </c>
      <c r="H553" s="1">
        <v>922680</v>
      </c>
      <c r="I553" s="1">
        <v>48930</v>
      </c>
      <c r="J553" t="s">
        <v>24</v>
      </c>
      <c r="K553">
        <v>2019</v>
      </c>
    </row>
    <row r="554" spans="1:11" hidden="1" x14ac:dyDescent="0.3">
      <c r="A554" t="s">
        <v>6</v>
      </c>
      <c r="B554" t="s">
        <v>9</v>
      </c>
      <c r="C554" t="s">
        <v>5</v>
      </c>
      <c r="D554" t="s">
        <v>1</v>
      </c>
      <c r="E554" s="1">
        <v>886</v>
      </c>
      <c r="F554" s="1">
        <v>350</v>
      </c>
      <c r="G554" s="1">
        <v>310100</v>
      </c>
      <c r="H554" s="1">
        <v>272888</v>
      </c>
      <c r="I554" s="1">
        <v>42528</v>
      </c>
      <c r="J554" t="s">
        <v>25</v>
      </c>
      <c r="K554">
        <v>2019</v>
      </c>
    </row>
    <row r="555" spans="1:11" hidden="1" x14ac:dyDescent="0.3">
      <c r="A555" t="s">
        <v>17</v>
      </c>
      <c r="B555" t="s">
        <v>9</v>
      </c>
      <c r="C555" t="s">
        <v>5</v>
      </c>
      <c r="D555" t="s">
        <v>1</v>
      </c>
      <c r="E555" s="1">
        <v>2156</v>
      </c>
      <c r="F555" s="1">
        <v>125</v>
      </c>
      <c r="G555" s="1">
        <v>269500</v>
      </c>
      <c r="H555" s="1">
        <v>237160</v>
      </c>
      <c r="I555" s="1">
        <v>-21560</v>
      </c>
      <c r="J555" t="s">
        <v>10</v>
      </c>
      <c r="K555">
        <v>2019</v>
      </c>
    </row>
    <row r="556" spans="1:11" hidden="1" x14ac:dyDescent="0.3">
      <c r="A556" t="s">
        <v>6</v>
      </c>
      <c r="B556" t="s">
        <v>9</v>
      </c>
      <c r="C556" t="s">
        <v>5</v>
      </c>
      <c r="D556" t="s">
        <v>1</v>
      </c>
      <c r="E556" s="1">
        <v>905</v>
      </c>
      <c r="F556" s="1">
        <v>20</v>
      </c>
      <c r="G556" s="1">
        <v>18100</v>
      </c>
      <c r="H556" s="1">
        <v>15928</v>
      </c>
      <c r="I556" s="1">
        <v>6878</v>
      </c>
      <c r="J556" t="s">
        <v>10</v>
      </c>
      <c r="K556">
        <v>2019</v>
      </c>
    </row>
    <row r="557" spans="1:11" hidden="1" x14ac:dyDescent="0.3">
      <c r="A557" t="s">
        <v>6</v>
      </c>
      <c r="B557" t="s">
        <v>9</v>
      </c>
      <c r="C557" t="s">
        <v>5</v>
      </c>
      <c r="D557" t="s">
        <v>1</v>
      </c>
      <c r="E557" s="1">
        <v>1715</v>
      </c>
      <c r="F557" s="1">
        <v>20</v>
      </c>
      <c r="G557" s="1">
        <v>34300</v>
      </c>
      <c r="H557" s="1">
        <v>30184</v>
      </c>
      <c r="I557" s="1">
        <v>13034</v>
      </c>
      <c r="J557" t="s">
        <v>10</v>
      </c>
      <c r="K557">
        <v>2018</v>
      </c>
    </row>
    <row r="558" spans="1:11" hidden="1" x14ac:dyDescent="0.3">
      <c r="A558" t="s">
        <v>6</v>
      </c>
      <c r="B558" t="s">
        <v>14</v>
      </c>
      <c r="C558" t="s">
        <v>5</v>
      </c>
      <c r="D558" t="s">
        <v>1</v>
      </c>
      <c r="E558" s="1">
        <v>1594</v>
      </c>
      <c r="F558" s="1">
        <v>350</v>
      </c>
      <c r="G558" s="1">
        <v>557900</v>
      </c>
      <c r="H558" s="1">
        <v>490952</v>
      </c>
      <c r="I558" s="1">
        <v>76512</v>
      </c>
      <c r="J558" t="s">
        <v>16</v>
      </c>
      <c r="K558">
        <v>2019</v>
      </c>
    </row>
    <row r="559" spans="1:11" hidden="1" x14ac:dyDescent="0.3">
      <c r="A559" t="s">
        <v>12</v>
      </c>
      <c r="B559" t="s">
        <v>41</v>
      </c>
      <c r="C559" t="s">
        <v>5</v>
      </c>
      <c r="D559" t="s">
        <v>1</v>
      </c>
      <c r="E559" s="1">
        <v>1359</v>
      </c>
      <c r="F559" s="1">
        <v>300</v>
      </c>
      <c r="G559" s="1">
        <v>407700</v>
      </c>
      <c r="H559" s="1">
        <v>358776</v>
      </c>
      <c r="I559" s="1">
        <v>19026</v>
      </c>
      <c r="J559" t="s">
        <v>16</v>
      </c>
      <c r="K559">
        <v>2019</v>
      </c>
    </row>
    <row r="560" spans="1:11" hidden="1" x14ac:dyDescent="0.3">
      <c r="A560" t="s">
        <v>12</v>
      </c>
      <c r="B560" t="s">
        <v>9</v>
      </c>
      <c r="C560" t="s">
        <v>5</v>
      </c>
      <c r="D560" t="s">
        <v>1</v>
      </c>
      <c r="E560" s="1">
        <v>2150</v>
      </c>
      <c r="F560" s="1">
        <v>300</v>
      </c>
      <c r="G560" s="1">
        <v>645000</v>
      </c>
      <c r="H560" s="1">
        <v>567600</v>
      </c>
      <c r="I560" s="1">
        <v>30100</v>
      </c>
      <c r="J560" t="s">
        <v>16</v>
      </c>
      <c r="K560">
        <v>2019</v>
      </c>
    </row>
    <row r="561" spans="1:11" hidden="1" x14ac:dyDescent="0.3">
      <c r="A561" t="s">
        <v>6</v>
      </c>
      <c r="B561" t="s">
        <v>9</v>
      </c>
      <c r="C561" t="s">
        <v>5</v>
      </c>
      <c r="D561" t="s">
        <v>1</v>
      </c>
      <c r="E561" s="1">
        <v>1197</v>
      </c>
      <c r="F561" s="1">
        <v>350</v>
      </c>
      <c r="G561" s="1">
        <v>418950</v>
      </c>
      <c r="H561" s="1">
        <v>368676</v>
      </c>
      <c r="I561" s="1">
        <v>57456</v>
      </c>
      <c r="J561" t="s">
        <v>16</v>
      </c>
      <c r="K561">
        <v>2019</v>
      </c>
    </row>
    <row r="562" spans="1:11" hidden="1" x14ac:dyDescent="0.3">
      <c r="A562" t="s">
        <v>18</v>
      </c>
      <c r="B562" t="s">
        <v>9</v>
      </c>
      <c r="C562" t="s">
        <v>5</v>
      </c>
      <c r="D562" t="s">
        <v>1</v>
      </c>
      <c r="E562" s="1">
        <v>380</v>
      </c>
      <c r="F562" s="1">
        <v>15</v>
      </c>
      <c r="G562" s="1">
        <v>5700</v>
      </c>
      <c r="H562" s="1">
        <v>5016</v>
      </c>
      <c r="I562" s="1">
        <v>1216</v>
      </c>
      <c r="J562" t="s">
        <v>15</v>
      </c>
      <c r="K562">
        <v>2018</v>
      </c>
    </row>
    <row r="563" spans="1:11" hidden="1" x14ac:dyDescent="0.3">
      <c r="A563" t="s">
        <v>6</v>
      </c>
      <c r="B563" t="s">
        <v>9</v>
      </c>
      <c r="C563" t="s">
        <v>5</v>
      </c>
      <c r="D563" t="s">
        <v>1</v>
      </c>
      <c r="E563" s="1">
        <v>1233</v>
      </c>
      <c r="F563" s="1">
        <v>20</v>
      </c>
      <c r="G563" s="1">
        <v>24660</v>
      </c>
      <c r="H563" s="1">
        <v>21700.799999999999</v>
      </c>
      <c r="I563" s="1">
        <v>9370.7999999999993</v>
      </c>
      <c r="J563" t="s">
        <v>15</v>
      </c>
      <c r="K563">
        <v>2019</v>
      </c>
    </row>
    <row r="564" spans="1:11" hidden="1" x14ac:dyDescent="0.3">
      <c r="A564" t="s">
        <v>6</v>
      </c>
      <c r="B564" t="s">
        <v>9</v>
      </c>
      <c r="C564" t="s">
        <v>20</v>
      </c>
      <c r="D564" t="s">
        <v>1</v>
      </c>
      <c r="E564" s="1">
        <v>1395</v>
      </c>
      <c r="F564" s="1">
        <v>350</v>
      </c>
      <c r="G564" s="1">
        <v>488250</v>
      </c>
      <c r="H564" s="1">
        <v>429660</v>
      </c>
      <c r="I564" s="1">
        <v>66960</v>
      </c>
      <c r="J564" t="s">
        <v>19</v>
      </c>
      <c r="K564">
        <v>2019</v>
      </c>
    </row>
    <row r="565" spans="1:11" hidden="1" x14ac:dyDescent="0.3">
      <c r="A565" t="s">
        <v>6</v>
      </c>
      <c r="B565" t="s">
        <v>42</v>
      </c>
      <c r="C565" t="s">
        <v>20</v>
      </c>
      <c r="D565" t="s">
        <v>1</v>
      </c>
      <c r="E565" s="1">
        <v>986</v>
      </c>
      <c r="F565" s="1">
        <v>350</v>
      </c>
      <c r="G565" s="1">
        <v>345100</v>
      </c>
      <c r="H565" s="1">
        <v>303688</v>
      </c>
      <c r="I565" s="1">
        <v>47328</v>
      </c>
      <c r="J565" t="s">
        <v>10</v>
      </c>
      <c r="K565">
        <v>2019</v>
      </c>
    </row>
    <row r="566" spans="1:11" hidden="1" x14ac:dyDescent="0.3">
      <c r="A566" t="s">
        <v>6</v>
      </c>
      <c r="B566" t="s">
        <v>9</v>
      </c>
      <c r="C566" t="s">
        <v>20</v>
      </c>
      <c r="D566" t="s">
        <v>1</v>
      </c>
      <c r="E566" s="1">
        <v>905</v>
      </c>
      <c r="F566" s="1">
        <v>20</v>
      </c>
      <c r="G566" s="1">
        <v>18100</v>
      </c>
      <c r="H566" s="1">
        <v>15928</v>
      </c>
      <c r="I566" s="1">
        <v>6878</v>
      </c>
      <c r="J566" t="s">
        <v>10</v>
      </c>
      <c r="K566">
        <v>2019</v>
      </c>
    </row>
    <row r="567" spans="1:11" x14ac:dyDescent="0.3">
      <c r="A567" t="s">
        <v>3</v>
      </c>
      <c r="B567" t="s">
        <v>40</v>
      </c>
      <c r="C567" t="s">
        <v>2</v>
      </c>
      <c r="D567" t="s">
        <v>1</v>
      </c>
      <c r="E567" s="1">
        <v>2109</v>
      </c>
      <c r="F567" s="1">
        <v>12</v>
      </c>
      <c r="G567" s="1">
        <v>25308</v>
      </c>
      <c r="H567" s="1">
        <v>22271.040000000001</v>
      </c>
      <c r="I567" s="1">
        <v>15944.04</v>
      </c>
      <c r="J567" t="s">
        <v>0</v>
      </c>
      <c r="K567">
        <v>2019</v>
      </c>
    </row>
    <row r="568" spans="1:11" hidden="1" x14ac:dyDescent="0.3">
      <c r="A568" t="s">
        <v>18</v>
      </c>
      <c r="B568" t="s">
        <v>14</v>
      </c>
      <c r="C568" t="s">
        <v>2</v>
      </c>
      <c r="D568" t="s">
        <v>1</v>
      </c>
      <c r="E568" s="1">
        <v>3874.5</v>
      </c>
      <c r="F568" s="1">
        <v>15</v>
      </c>
      <c r="G568" s="1">
        <v>58117.5</v>
      </c>
      <c r="H568" s="1">
        <v>51143.399999999994</v>
      </c>
      <c r="I568" s="1">
        <v>12398.399999999998</v>
      </c>
      <c r="J568" t="s">
        <v>19</v>
      </c>
      <c r="K568">
        <v>2019</v>
      </c>
    </row>
    <row r="569" spans="1:11" hidden="1" x14ac:dyDescent="0.3">
      <c r="A569" t="s">
        <v>6</v>
      </c>
      <c r="B569" t="s">
        <v>40</v>
      </c>
      <c r="C569" t="s">
        <v>2</v>
      </c>
      <c r="D569" t="s">
        <v>1</v>
      </c>
      <c r="E569" s="1">
        <v>623</v>
      </c>
      <c r="F569" s="1">
        <v>350</v>
      </c>
      <c r="G569" s="1">
        <v>218050</v>
      </c>
      <c r="H569" s="1">
        <v>191884</v>
      </c>
      <c r="I569" s="1">
        <v>29904</v>
      </c>
      <c r="J569" t="s">
        <v>21</v>
      </c>
      <c r="K569">
        <v>2018</v>
      </c>
    </row>
    <row r="570" spans="1:11" hidden="1" x14ac:dyDescent="0.3">
      <c r="A570" t="s">
        <v>6</v>
      </c>
      <c r="B570" t="s">
        <v>42</v>
      </c>
      <c r="C570" t="s">
        <v>2</v>
      </c>
      <c r="D570" t="s">
        <v>1</v>
      </c>
      <c r="E570" s="1">
        <v>986</v>
      </c>
      <c r="F570" s="1">
        <v>350</v>
      </c>
      <c r="G570" s="1">
        <v>345100</v>
      </c>
      <c r="H570" s="1">
        <v>303688</v>
      </c>
      <c r="I570" s="1">
        <v>47328</v>
      </c>
      <c r="J570" t="s">
        <v>10</v>
      </c>
      <c r="K570">
        <v>2019</v>
      </c>
    </row>
    <row r="571" spans="1:11" hidden="1" x14ac:dyDescent="0.3">
      <c r="A571" t="s">
        <v>17</v>
      </c>
      <c r="B571" t="s">
        <v>42</v>
      </c>
      <c r="C571" t="s">
        <v>2</v>
      </c>
      <c r="D571" t="s">
        <v>1</v>
      </c>
      <c r="E571" s="1">
        <v>2387</v>
      </c>
      <c r="F571" s="1">
        <v>125</v>
      </c>
      <c r="G571" s="1">
        <v>298375</v>
      </c>
      <c r="H571" s="1">
        <v>262570</v>
      </c>
      <c r="I571" s="1">
        <v>-23870</v>
      </c>
      <c r="J571" t="s">
        <v>16</v>
      </c>
      <c r="K571">
        <v>2019</v>
      </c>
    </row>
    <row r="572" spans="1:11" hidden="1" x14ac:dyDescent="0.3">
      <c r="A572" t="s">
        <v>6</v>
      </c>
      <c r="B572" t="s">
        <v>9</v>
      </c>
      <c r="C572" t="s">
        <v>2</v>
      </c>
      <c r="D572" t="s">
        <v>1</v>
      </c>
      <c r="E572" s="1">
        <v>1233</v>
      </c>
      <c r="F572" s="1">
        <v>20</v>
      </c>
      <c r="G572" s="1">
        <v>24660</v>
      </c>
      <c r="H572" s="1">
        <v>21700.799999999999</v>
      </c>
      <c r="I572" s="1">
        <v>9370.7999999999993</v>
      </c>
      <c r="J572" t="s">
        <v>15</v>
      </c>
      <c r="K572">
        <v>2019</v>
      </c>
    </row>
    <row r="573" spans="1:11" hidden="1" x14ac:dyDescent="0.3">
      <c r="A573" t="s">
        <v>6</v>
      </c>
      <c r="B573" t="s">
        <v>42</v>
      </c>
      <c r="C573" t="s">
        <v>11</v>
      </c>
      <c r="D573" t="s">
        <v>1</v>
      </c>
      <c r="E573" s="1">
        <v>270</v>
      </c>
      <c r="F573" s="1">
        <v>350</v>
      </c>
      <c r="G573" s="1">
        <v>94500</v>
      </c>
      <c r="H573" s="1">
        <v>83160</v>
      </c>
      <c r="I573" s="1">
        <v>12960</v>
      </c>
      <c r="J573" t="s">
        <v>7</v>
      </c>
      <c r="K573">
        <v>2019</v>
      </c>
    </row>
    <row r="574" spans="1:11" hidden="1" x14ac:dyDescent="0.3">
      <c r="A574" t="s">
        <v>6</v>
      </c>
      <c r="B574" t="s">
        <v>14</v>
      </c>
      <c r="C574" t="s">
        <v>11</v>
      </c>
      <c r="D574" t="s">
        <v>1</v>
      </c>
      <c r="E574" s="1">
        <v>3421.5</v>
      </c>
      <c r="F574" s="1">
        <v>7</v>
      </c>
      <c r="G574" s="1">
        <v>23950.5</v>
      </c>
      <c r="H574" s="1">
        <v>21076.44</v>
      </c>
      <c r="I574" s="1">
        <v>3968.9399999999987</v>
      </c>
      <c r="J574" t="s">
        <v>19</v>
      </c>
      <c r="K574">
        <v>2019</v>
      </c>
    </row>
    <row r="575" spans="1:11" hidden="1" x14ac:dyDescent="0.3">
      <c r="A575" t="s">
        <v>6</v>
      </c>
      <c r="B575" t="s">
        <v>40</v>
      </c>
      <c r="C575" t="s">
        <v>11</v>
      </c>
      <c r="D575" t="s">
        <v>1</v>
      </c>
      <c r="E575" s="1">
        <v>2734</v>
      </c>
      <c r="F575" s="1">
        <v>7</v>
      </c>
      <c r="G575" s="1">
        <v>19138</v>
      </c>
      <c r="H575" s="1">
        <v>16841.439999999999</v>
      </c>
      <c r="I575" s="1">
        <v>3171.4399999999987</v>
      </c>
      <c r="J575" t="s">
        <v>10</v>
      </c>
      <c r="K575">
        <v>2019</v>
      </c>
    </row>
    <row r="576" spans="1:11" hidden="1" x14ac:dyDescent="0.3">
      <c r="A576" t="s">
        <v>18</v>
      </c>
      <c r="B576" t="s">
        <v>42</v>
      </c>
      <c r="C576" t="s">
        <v>11</v>
      </c>
      <c r="D576" t="s">
        <v>1</v>
      </c>
      <c r="E576" s="1">
        <v>2548</v>
      </c>
      <c r="F576" s="1">
        <v>15</v>
      </c>
      <c r="G576" s="1">
        <v>38220</v>
      </c>
      <c r="H576" s="1">
        <v>33633.599999999999</v>
      </c>
      <c r="I576" s="1">
        <v>8153.5999999999985</v>
      </c>
      <c r="J576" t="s">
        <v>16</v>
      </c>
      <c r="K576">
        <v>2018</v>
      </c>
    </row>
    <row r="577" spans="1:11" hidden="1" x14ac:dyDescent="0.3">
      <c r="A577" t="s">
        <v>6</v>
      </c>
      <c r="B577" t="s">
        <v>14</v>
      </c>
      <c r="C577" t="s">
        <v>23</v>
      </c>
      <c r="D577" t="s">
        <v>1</v>
      </c>
      <c r="E577" s="1">
        <v>2521.5</v>
      </c>
      <c r="F577" s="1">
        <v>20</v>
      </c>
      <c r="G577" s="1">
        <v>50430</v>
      </c>
      <c r="H577" s="1">
        <v>44378.399999999994</v>
      </c>
      <c r="I577" s="1">
        <v>19163.399999999998</v>
      </c>
      <c r="J577" t="s">
        <v>24</v>
      </c>
      <c r="K577">
        <v>2019</v>
      </c>
    </row>
    <row r="578" spans="1:11" hidden="1" x14ac:dyDescent="0.3">
      <c r="A578" t="s">
        <v>3</v>
      </c>
      <c r="B578" t="s">
        <v>9</v>
      </c>
      <c r="C578" t="s">
        <v>8</v>
      </c>
      <c r="D578" t="s">
        <v>1</v>
      </c>
      <c r="E578" s="1">
        <v>2661</v>
      </c>
      <c r="F578" s="1">
        <v>12</v>
      </c>
      <c r="G578" s="1">
        <v>31932</v>
      </c>
      <c r="H578" s="1">
        <v>28100.16</v>
      </c>
      <c r="I578" s="1">
        <v>20117.16</v>
      </c>
      <c r="J578" t="s">
        <v>0</v>
      </c>
      <c r="K578">
        <v>2019</v>
      </c>
    </row>
    <row r="579" spans="1:11" hidden="1" x14ac:dyDescent="0.3">
      <c r="A579" t="s">
        <v>6</v>
      </c>
      <c r="B579" t="s">
        <v>41</v>
      </c>
      <c r="C579" t="s">
        <v>5</v>
      </c>
      <c r="D579" t="s">
        <v>1</v>
      </c>
      <c r="E579" s="1">
        <v>1531</v>
      </c>
      <c r="F579" s="1">
        <v>20</v>
      </c>
      <c r="G579" s="1">
        <v>30620</v>
      </c>
      <c r="H579" s="1">
        <v>26945.599999999999</v>
      </c>
      <c r="I579" s="1">
        <v>11635.599999999999</v>
      </c>
      <c r="J579" t="s">
        <v>15</v>
      </c>
      <c r="K579">
        <v>2019</v>
      </c>
    </row>
    <row r="580" spans="1:11" hidden="1" x14ac:dyDescent="0.3">
      <c r="A580" t="s">
        <v>6</v>
      </c>
      <c r="B580" t="s">
        <v>14</v>
      </c>
      <c r="C580" t="s">
        <v>2</v>
      </c>
      <c r="D580" t="s">
        <v>1</v>
      </c>
      <c r="E580" s="1">
        <v>1491</v>
      </c>
      <c r="F580" s="1">
        <v>7</v>
      </c>
      <c r="G580" s="1">
        <v>10437</v>
      </c>
      <c r="H580" s="1">
        <v>9184.56</v>
      </c>
      <c r="I580" s="1">
        <v>1729.5599999999995</v>
      </c>
      <c r="J580" t="s">
        <v>13</v>
      </c>
      <c r="K580">
        <v>2019</v>
      </c>
    </row>
    <row r="581" spans="1:11" hidden="1" x14ac:dyDescent="0.3">
      <c r="A581" t="s">
        <v>6</v>
      </c>
      <c r="B581" t="s">
        <v>41</v>
      </c>
      <c r="C581" t="s">
        <v>2</v>
      </c>
      <c r="D581" t="s">
        <v>1</v>
      </c>
      <c r="E581" s="1">
        <v>1531</v>
      </c>
      <c r="F581" s="1">
        <v>20</v>
      </c>
      <c r="G581" s="1">
        <v>30620</v>
      </c>
      <c r="H581" s="1">
        <v>26945.599999999999</v>
      </c>
      <c r="I581" s="1">
        <v>11635.599999999999</v>
      </c>
      <c r="J581" t="s">
        <v>15</v>
      </c>
      <c r="K581">
        <v>2019</v>
      </c>
    </row>
    <row r="582" spans="1:11" x14ac:dyDescent="0.3">
      <c r="A582" t="s">
        <v>3</v>
      </c>
      <c r="B582" t="s">
        <v>40</v>
      </c>
      <c r="C582" t="s">
        <v>11</v>
      </c>
      <c r="D582" t="s">
        <v>1</v>
      </c>
      <c r="E582" s="1">
        <v>2761</v>
      </c>
      <c r="F582" s="1">
        <v>12</v>
      </c>
      <c r="G582" s="1">
        <v>33132</v>
      </c>
      <c r="H582" s="1">
        <v>29156.16</v>
      </c>
      <c r="I582" s="1">
        <v>20873.16</v>
      </c>
      <c r="J582" t="s">
        <v>21</v>
      </c>
      <c r="K582">
        <v>2018</v>
      </c>
    </row>
    <row r="583" spans="1:11" hidden="1" x14ac:dyDescent="0.3">
      <c r="A583" t="s">
        <v>18</v>
      </c>
      <c r="B583" t="s">
        <v>42</v>
      </c>
      <c r="C583" t="s">
        <v>23</v>
      </c>
      <c r="D583" t="s">
        <v>1</v>
      </c>
      <c r="E583" s="1">
        <v>2567</v>
      </c>
      <c r="F583" s="1">
        <v>15</v>
      </c>
      <c r="G583" s="1">
        <v>38505</v>
      </c>
      <c r="H583" s="1">
        <v>33499.35</v>
      </c>
      <c r="I583" s="1">
        <v>7829.3499999999985</v>
      </c>
      <c r="J583" t="s">
        <v>25</v>
      </c>
      <c r="K583">
        <v>2019</v>
      </c>
    </row>
    <row r="584" spans="1:11" hidden="1" x14ac:dyDescent="0.3">
      <c r="A584" t="s">
        <v>18</v>
      </c>
      <c r="B584" t="s">
        <v>42</v>
      </c>
      <c r="C584" t="s">
        <v>2</v>
      </c>
      <c r="D584" t="s">
        <v>1</v>
      </c>
      <c r="E584" s="1">
        <v>2567</v>
      </c>
      <c r="F584" s="1">
        <v>15</v>
      </c>
      <c r="G584" s="1">
        <v>38505</v>
      </c>
      <c r="H584" s="1">
        <v>33499.35</v>
      </c>
      <c r="I584" s="1">
        <v>7829.3499999999985</v>
      </c>
      <c r="J584" t="s">
        <v>25</v>
      </c>
      <c r="K584">
        <v>2019</v>
      </c>
    </row>
    <row r="585" spans="1:11" hidden="1" x14ac:dyDescent="0.3">
      <c r="A585" t="s">
        <v>6</v>
      </c>
      <c r="B585" t="s">
        <v>40</v>
      </c>
      <c r="C585" t="s">
        <v>23</v>
      </c>
      <c r="D585" t="s">
        <v>1</v>
      </c>
      <c r="E585" s="1">
        <v>923</v>
      </c>
      <c r="F585" s="1">
        <v>350</v>
      </c>
      <c r="G585" s="1">
        <v>323050</v>
      </c>
      <c r="H585" s="1">
        <v>281053.5</v>
      </c>
      <c r="I585" s="1">
        <v>41073.5</v>
      </c>
      <c r="J585" t="s">
        <v>13</v>
      </c>
      <c r="K585">
        <v>2019</v>
      </c>
    </row>
    <row r="586" spans="1:11" hidden="1" x14ac:dyDescent="0.3">
      <c r="A586" t="s">
        <v>6</v>
      </c>
      <c r="B586" t="s">
        <v>14</v>
      </c>
      <c r="C586" t="s">
        <v>23</v>
      </c>
      <c r="D586" t="s">
        <v>1</v>
      </c>
      <c r="E586" s="1">
        <v>1790</v>
      </c>
      <c r="F586" s="1">
        <v>350</v>
      </c>
      <c r="G586" s="1">
        <v>626500</v>
      </c>
      <c r="H586" s="1">
        <v>545055</v>
      </c>
      <c r="I586" s="1">
        <v>79655</v>
      </c>
      <c r="J586" t="s">
        <v>13</v>
      </c>
      <c r="K586">
        <v>2019</v>
      </c>
    </row>
    <row r="587" spans="1:11" hidden="1" x14ac:dyDescent="0.3">
      <c r="A587" t="s">
        <v>6</v>
      </c>
      <c r="B587" t="s">
        <v>41</v>
      </c>
      <c r="C587" t="s">
        <v>23</v>
      </c>
      <c r="D587" t="s">
        <v>1</v>
      </c>
      <c r="E587" s="1">
        <v>442</v>
      </c>
      <c r="F587" s="1">
        <v>20</v>
      </c>
      <c r="G587" s="1">
        <v>8840</v>
      </c>
      <c r="H587" s="1">
        <v>7690.8</v>
      </c>
      <c r="I587" s="1">
        <v>3270.8</v>
      </c>
      <c r="J587" t="s">
        <v>21</v>
      </c>
      <c r="K587">
        <v>2018</v>
      </c>
    </row>
    <row r="588" spans="1:11" hidden="1" x14ac:dyDescent="0.3">
      <c r="A588" t="s">
        <v>6</v>
      </c>
      <c r="B588" t="s">
        <v>42</v>
      </c>
      <c r="C588" t="s">
        <v>8</v>
      </c>
      <c r="D588" t="s">
        <v>1</v>
      </c>
      <c r="E588" s="1">
        <v>982.5</v>
      </c>
      <c r="F588" s="1">
        <v>350</v>
      </c>
      <c r="G588" s="1">
        <v>343875</v>
      </c>
      <c r="H588" s="1">
        <v>299171.25</v>
      </c>
      <c r="I588" s="1">
        <v>43721.25</v>
      </c>
      <c r="J588" t="s">
        <v>24</v>
      </c>
      <c r="K588">
        <v>2019</v>
      </c>
    </row>
    <row r="589" spans="1:11" hidden="1" x14ac:dyDescent="0.3">
      <c r="A589" t="s">
        <v>6</v>
      </c>
      <c r="B589" t="s">
        <v>42</v>
      </c>
      <c r="C589" t="s">
        <v>8</v>
      </c>
      <c r="D589" t="s">
        <v>1</v>
      </c>
      <c r="E589" s="1">
        <v>1298</v>
      </c>
      <c r="F589" s="1">
        <v>7</v>
      </c>
      <c r="G589" s="1">
        <v>9086</v>
      </c>
      <c r="H589" s="1">
        <v>7904.82</v>
      </c>
      <c r="I589" s="1">
        <v>1414.8199999999997</v>
      </c>
      <c r="J589" t="s">
        <v>7</v>
      </c>
      <c r="K589">
        <v>2019</v>
      </c>
    </row>
    <row r="590" spans="1:11" hidden="1" x14ac:dyDescent="0.3">
      <c r="A590" t="s">
        <v>3</v>
      </c>
      <c r="B590" t="s">
        <v>9</v>
      </c>
      <c r="C590" t="s">
        <v>8</v>
      </c>
      <c r="D590" t="s">
        <v>1</v>
      </c>
      <c r="E590" s="1">
        <v>604</v>
      </c>
      <c r="F590" s="1">
        <v>12</v>
      </c>
      <c r="G590" s="1">
        <v>7248</v>
      </c>
      <c r="H590" s="1">
        <v>6305.76</v>
      </c>
      <c r="I590" s="1">
        <v>4493.76</v>
      </c>
      <c r="J590" t="s">
        <v>25</v>
      </c>
      <c r="K590">
        <v>2019</v>
      </c>
    </row>
    <row r="591" spans="1:11" hidden="1" x14ac:dyDescent="0.3">
      <c r="A591" t="s">
        <v>6</v>
      </c>
      <c r="B591" t="s">
        <v>9</v>
      </c>
      <c r="C591" t="s">
        <v>8</v>
      </c>
      <c r="D591" t="s">
        <v>1</v>
      </c>
      <c r="E591" s="1">
        <v>2255</v>
      </c>
      <c r="F591" s="1">
        <v>20</v>
      </c>
      <c r="G591" s="1">
        <v>45100</v>
      </c>
      <c r="H591" s="1">
        <v>39237</v>
      </c>
      <c r="I591" s="1">
        <v>16687</v>
      </c>
      <c r="J591" t="s">
        <v>19</v>
      </c>
      <c r="K591">
        <v>2019</v>
      </c>
    </row>
    <row r="592" spans="1:11" hidden="1" x14ac:dyDescent="0.3">
      <c r="A592" t="s">
        <v>6</v>
      </c>
      <c r="B592" t="s">
        <v>40</v>
      </c>
      <c r="C592" t="s">
        <v>8</v>
      </c>
      <c r="D592" t="s">
        <v>1</v>
      </c>
      <c r="E592" s="1">
        <v>1249</v>
      </c>
      <c r="F592" s="1">
        <v>20</v>
      </c>
      <c r="G592" s="1">
        <v>24980</v>
      </c>
      <c r="H592" s="1">
        <v>21732.6</v>
      </c>
      <c r="I592" s="1">
        <v>9242.5999999999985</v>
      </c>
      <c r="J592" t="s">
        <v>10</v>
      </c>
      <c r="K592">
        <v>2019</v>
      </c>
    </row>
    <row r="593" spans="1:11" hidden="1" x14ac:dyDescent="0.3">
      <c r="A593" t="s">
        <v>6</v>
      </c>
      <c r="B593" t="s">
        <v>42</v>
      </c>
      <c r="C593" t="s">
        <v>5</v>
      </c>
      <c r="D593" t="s">
        <v>1</v>
      </c>
      <c r="E593" s="1">
        <v>1438.5</v>
      </c>
      <c r="F593" s="1">
        <v>7</v>
      </c>
      <c r="G593" s="1">
        <v>10069.5</v>
      </c>
      <c r="H593" s="1">
        <v>8760.4650000000001</v>
      </c>
      <c r="I593" s="1">
        <v>1567.9649999999992</v>
      </c>
      <c r="J593" t="s">
        <v>24</v>
      </c>
      <c r="K593">
        <v>2019</v>
      </c>
    </row>
    <row r="594" spans="1:11" hidden="1" x14ac:dyDescent="0.3">
      <c r="A594" t="s">
        <v>12</v>
      </c>
      <c r="B594" t="s">
        <v>41</v>
      </c>
      <c r="C594" t="s">
        <v>5</v>
      </c>
      <c r="D594" t="s">
        <v>1</v>
      </c>
      <c r="E594" s="1">
        <v>807</v>
      </c>
      <c r="F594" s="1">
        <v>300</v>
      </c>
      <c r="G594" s="1">
        <v>242100</v>
      </c>
      <c r="H594" s="1">
        <v>210627</v>
      </c>
      <c r="I594" s="1">
        <v>8877</v>
      </c>
      <c r="J594" t="s">
        <v>24</v>
      </c>
      <c r="K594">
        <v>2019</v>
      </c>
    </row>
    <row r="595" spans="1:11" hidden="1" x14ac:dyDescent="0.3">
      <c r="A595" t="s">
        <v>6</v>
      </c>
      <c r="B595" t="s">
        <v>42</v>
      </c>
      <c r="C595" t="s">
        <v>5</v>
      </c>
      <c r="D595" t="s">
        <v>1</v>
      </c>
      <c r="E595" s="1">
        <v>2641</v>
      </c>
      <c r="F595" s="1">
        <v>20</v>
      </c>
      <c r="G595" s="1">
        <v>52820</v>
      </c>
      <c r="H595" s="1">
        <v>45953.4</v>
      </c>
      <c r="I595" s="1">
        <v>19543.400000000001</v>
      </c>
      <c r="J595" t="s">
        <v>7</v>
      </c>
      <c r="K595">
        <v>2019</v>
      </c>
    </row>
    <row r="596" spans="1:11" hidden="1" x14ac:dyDescent="0.3">
      <c r="A596" t="s">
        <v>6</v>
      </c>
      <c r="B596" t="s">
        <v>41</v>
      </c>
      <c r="C596" t="s">
        <v>5</v>
      </c>
      <c r="D596" t="s">
        <v>1</v>
      </c>
      <c r="E596" s="1">
        <v>2708</v>
      </c>
      <c r="F596" s="1">
        <v>20</v>
      </c>
      <c r="G596" s="1">
        <v>54160</v>
      </c>
      <c r="H596" s="1">
        <v>47119.199999999997</v>
      </c>
      <c r="I596" s="1">
        <v>20039.199999999997</v>
      </c>
      <c r="J596" t="s">
        <v>7</v>
      </c>
      <c r="K596">
        <v>2019</v>
      </c>
    </row>
    <row r="597" spans="1:11" hidden="1" x14ac:dyDescent="0.3">
      <c r="A597" t="s">
        <v>6</v>
      </c>
      <c r="B597" t="s">
        <v>40</v>
      </c>
      <c r="C597" t="s">
        <v>5</v>
      </c>
      <c r="D597" t="s">
        <v>1</v>
      </c>
      <c r="E597" s="1">
        <v>2632</v>
      </c>
      <c r="F597" s="1">
        <v>350</v>
      </c>
      <c r="G597" s="1">
        <v>921200</v>
      </c>
      <c r="H597" s="1">
        <v>801444</v>
      </c>
      <c r="I597" s="1">
        <v>117124</v>
      </c>
      <c r="J597" t="s">
        <v>25</v>
      </c>
      <c r="K597">
        <v>2019</v>
      </c>
    </row>
    <row r="598" spans="1:11" hidden="1" x14ac:dyDescent="0.3">
      <c r="A598" t="s">
        <v>17</v>
      </c>
      <c r="B598" t="s">
        <v>40</v>
      </c>
      <c r="C598" t="s">
        <v>5</v>
      </c>
      <c r="D598" t="s">
        <v>1</v>
      </c>
      <c r="E598" s="1">
        <v>1583</v>
      </c>
      <c r="F598" s="1">
        <v>125</v>
      </c>
      <c r="G598" s="1">
        <v>197875</v>
      </c>
      <c r="H598" s="1">
        <v>172151.25</v>
      </c>
      <c r="I598" s="1">
        <v>-17808.75</v>
      </c>
      <c r="J598" t="s">
        <v>25</v>
      </c>
      <c r="K598">
        <v>2019</v>
      </c>
    </row>
    <row r="599" spans="1:11" hidden="1" x14ac:dyDescent="0.3">
      <c r="A599" t="s">
        <v>3</v>
      </c>
      <c r="B599" t="s">
        <v>9</v>
      </c>
      <c r="C599" t="s">
        <v>5</v>
      </c>
      <c r="D599" t="s">
        <v>1</v>
      </c>
      <c r="E599" s="1">
        <v>571</v>
      </c>
      <c r="F599" s="1">
        <v>12</v>
      </c>
      <c r="G599" s="1">
        <v>6852</v>
      </c>
      <c r="H599" s="1">
        <v>5961.24</v>
      </c>
      <c r="I599" s="1">
        <v>4248.24</v>
      </c>
      <c r="J599" t="s">
        <v>19</v>
      </c>
      <c r="K599">
        <v>2019</v>
      </c>
    </row>
    <row r="600" spans="1:11" hidden="1" x14ac:dyDescent="0.3">
      <c r="A600" t="s">
        <v>6</v>
      </c>
      <c r="B600" t="s">
        <v>14</v>
      </c>
      <c r="C600" t="s">
        <v>5</v>
      </c>
      <c r="D600" t="s">
        <v>1</v>
      </c>
      <c r="E600" s="1">
        <v>2696</v>
      </c>
      <c r="F600" s="1">
        <v>7</v>
      </c>
      <c r="G600" s="1">
        <v>18872</v>
      </c>
      <c r="H600" s="1">
        <v>16418.64</v>
      </c>
      <c r="I600" s="1">
        <v>2938.6399999999994</v>
      </c>
      <c r="J600" t="s">
        <v>22</v>
      </c>
      <c r="K600">
        <v>2019</v>
      </c>
    </row>
    <row r="601" spans="1:11" hidden="1" x14ac:dyDescent="0.3">
      <c r="A601" t="s">
        <v>18</v>
      </c>
      <c r="B601" t="s">
        <v>40</v>
      </c>
      <c r="C601" t="s">
        <v>5</v>
      </c>
      <c r="D601" t="s">
        <v>1</v>
      </c>
      <c r="E601" s="1">
        <v>1565</v>
      </c>
      <c r="F601" s="1">
        <v>15</v>
      </c>
      <c r="G601" s="1">
        <v>23475</v>
      </c>
      <c r="H601" s="1">
        <v>20423.25</v>
      </c>
      <c r="I601" s="1">
        <v>4773.25</v>
      </c>
      <c r="J601" t="s">
        <v>10</v>
      </c>
      <c r="K601">
        <v>2019</v>
      </c>
    </row>
    <row r="602" spans="1:11" hidden="1" x14ac:dyDescent="0.3">
      <c r="A602" t="s">
        <v>6</v>
      </c>
      <c r="B602" t="s">
        <v>40</v>
      </c>
      <c r="C602" t="s">
        <v>5</v>
      </c>
      <c r="D602" t="s">
        <v>1</v>
      </c>
      <c r="E602" s="1">
        <v>1249</v>
      </c>
      <c r="F602" s="1">
        <v>20</v>
      </c>
      <c r="G602" s="1">
        <v>24980</v>
      </c>
      <c r="H602" s="1">
        <v>21732.6</v>
      </c>
      <c r="I602" s="1">
        <v>9242.5999999999985</v>
      </c>
      <c r="J602" t="s">
        <v>10</v>
      </c>
      <c r="K602">
        <v>2019</v>
      </c>
    </row>
    <row r="603" spans="1:11" hidden="1" x14ac:dyDescent="0.3">
      <c r="A603" t="s">
        <v>6</v>
      </c>
      <c r="B603" t="s">
        <v>41</v>
      </c>
      <c r="C603" t="s">
        <v>5</v>
      </c>
      <c r="D603" t="s">
        <v>1</v>
      </c>
      <c r="E603" s="1">
        <v>357</v>
      </c>
      <c r="F603" s="1">
        <v>350</v>
      </c>
      <c r="G603" s="1">
        <v>124950</v>
      </c>
      <c r="H603" s="1">
        <v>108706.5</v>
      </c>
      <c r="I603" s="1">
        <v>15886.5</v>
      </c>
      <c r="J603" t="s">
        <v>16</v>
      </c>
      <c r="K603">
        <v>2019</v>
      </c>
    </row>
    <row r="604" spans="1:11" hidden="1" x14ac:dyDescent="0.3">
      <c r="A604" t="s">
        <v>3</v>
      </c>
      <c r="B604" t="s">
        <v>41</v>
      </c>
      <c r="C604" t="s">
        <v>5</v>
      </c>
      <c r="D604" t="s">
        <v>1</v>
      </c>
      <c r="E604" s="1">
        <v>1013</v>
      </c>
      <c r="F604" s="1">
        <v>12</v>
      </c>
      <c r="G604" s="1">
        <v>12156</v>
      </c>
      <c r="H604" s="1">
        <v>10575.72</v>
      </c>
      <c r="I604" s="1">
        <v>7536.7199999999993</v>
      </c>
      <c r="J604" t="s">
        <v>15</v>
      </c>
      <c r="K604">
        <v>2019</v>
      </c>
    </row>
    <row r="605" spans="1:11" hidden="1" x14ac:dyDescent="0.3">
      <c r="A605" t="s">
        <v>18</v>
      </c>
      <c r="B605" t="s">
        <v>14</v>
      </c>
      <c r="C605" t="s">
        <v>20</v>
      </c>
      <c r="D605" t="s">
        <v>1</v>
      </c>
      <c r="E605" s="1">
        <v>3997.5</v>
      </c>
      <c r="F605" s="1">
        <v>15</v>
      </c>
      <c r="G605" s="1">
        <v>59962.5</v>
      </c>
      <c r="H605" s="1">
        <v>52167.375</v>
      </c>
      <c r="I605" s="1">
        <v>12192.375</v>
      </c>
      <c r="J605" t="s">
        <v>24</v>
      </c>
      <c r="K605">
        <v>2019</v>
      </c>
    </row>
    <row r="606" spans="1:11" hidden="1" x14ac:dyDescent="0.3">
      <c r="A606" t="s">
        <v>6</v>
      </c>
      <c r="B606" t="s">
        <v>40</v>
      </c>
      <c r="C606" t="s">
        <v>20</v>
      </c>
      <c r="D606" t="s">
        <v>1</v>
      </c>
      <c r="E606" s="1">
        <v>2632</v>
      </c>
      <c r="F606" s="1">
        <v>350</v>
      </c>
      <c r="G606" s="1">
        <v>921200</v>
      </c>
      <c r="H606" s="1">
        <v>801444</v>
      </c>
      <c r="I606" s="1">
        <v>117124</v>
      </c>
      <c r="J606" t="s">
        <v>25</v>
      </c>
      <c r="K606">
        <v>2019</v>
      </c>
    </row>
    <row r="607" spans="1:11" hidden="1" x14ac:dyDescent="0.3">
      <c r="A607" t="s">
        <v>6</v>
      </c>
      <c r="B607" t="s">
        <v>14</v>
      </c>
      <c r="C607" t="s">
        <v>20</v>
      </c>
      <c r="D607" t="s">
        <v>1</v>
      </c>
      <c r="E607" s="1">
        <v>1190</v>
      </c>
      <c r="F607" s="1">
        <v>7</v>
      </c>
      <c r="G607" s="1">
        <v>8330</v>
      </c>
      <c r="H607" s="1">
        <v>7247.1</v>
      </c>
      <c r="I607" s="1">
        <v>1297.1000000000004</v>
      </c>
      <c r="J607" t="s">
        <v>25</v>
      </c>
      <c r="K607">
        <v>2019</v>
      </c>
    </row>
    <row r="608" spans="1:11" hidden="1" x14ac:dyDescent="0.3">
      <c r="A608" t="s">
        <v>3</v>
      </c>
      <c r="B608" t="s">
        <v>9</v>
      </c>
      <c r="C608" t="s">
        <v>20</v>
      </c>
      <c r="D608" t="s">
        <v>1</v>
      </c>
      <c r="E608" s="1">
        <v>604</v>
      </c>
      <c r="F608" s="1">
        <v>12</v>
      </c>
      <c r="G608" s="1">
        <v>7248</v>
      </c>
      <c r="H608" s="1">
        <v>6305.76</v>
      </c>
      <c r="I608" s="1">
        <v>4493.76</v>
      </c>
      <c r="J608" t="s">
        <v>25</v>
      </c>
      <c r="K608">
        <v>2019</v>
      </c>
    </row>
    <row r="609" spans="1:11" hidden="1" x14ac:dyDescent="0.3">
      <c r="A609" t="s">
        <v>18</v>
      </c>
      <c r="B609" t="s">
        <v>41</v>
      </c>
      <c r="C609" t="s">
        <v>20</v>
      </c>
      <c r="D609" t="s">
        <v>1</v>
      </c>
      <c r="E609" s="1">
        <v>660</v>
      </c>
      <c r="F609" s="1">
        <v>15</v>
      </c>
      <c r="G609" s="1">
        <v>9900</v>
      </c>
      <c r="H609" s="1">
        <v>8613</v>
      </c>
      <c r="I609" s="1">
        <v>2013</v>
      </c>
      <c r="J609" t="s">
        <v>21</v>
      </c>
      <c r="K609">
        <v>2018</v>
      </c>
    </row>
    <row r="610" spans="1:11" hidden="1" x14ac:dyDescent="0.3">
      <c r="A610" t="s">
        <v>3</v>
      </c>
      <c r="B610" t="s">
        <v>9</v>
      </c>
      <c r="C610" t="s">
        <v>20</v>
      </c>
      <c r="D610" t="s">
        <v>1</v>
      </c>
      <c r="E610" s="1">
        <v>410</v>
      </c>
      <c r="F610" s="1">
        <v>12</v>
      </c>
      <c r="G610" s="1">
        <v>4920</v>
      </c>
      <c r="H610" s="1">
        <v>4280.3999999999996</v>
      </c>
      <c r="I610" s="1">
        <v>3050.3999999999996</v>
      </c>
      <c r="J610" t="s">
        <v>10</v>
      </c>
      <c r="K610">
        <v>2019</v>
      </c>
    </row>
    <row r="611" spans="1:11" hidden="1" x14ac:dyDescent="0.3">
      <c r="A611" t="s">
        <v>12</v>
      </c>
      <c r="B611" t="s">
        <v>9</v>
      </c>
      <c r="C611" t="s">
        <v>20</v>
      </c>
      <c r="D611" t="s">
        <v>1</v>
      </c>
      <c r="E611" s="1">
        <v>2605</v>
      </c>
      <c r="F611" s="1">
        <v>300</v>
      </c>
      <c r="G611" s="1">
        <v>781500</v>
      </c>
      <c r="H611" s="1">
        <v>679905</v>
      </c>
      <c r="I611" s="1">
        <v>28655</v>
      </c>
      <c r="J611" t="s">
        <v>16</v>
      </c>
      <c r="K611">
        <v>2018</v>
      </c>
    </row>
    <row r="612" spans="1:11" hidden="1" x14ac:dyDescent="0.3">
      <c r="A612" t="s">
        <v>3</v>
      </c>
      <c r="B612" t="s">
        <v>41</v>
      </c>
      <c r="C612" t="s">
        <v>20</v>
      </c>
      <c r="D612" t="s">
        <v>1</v>
      </c>
      <c r="E612" s="1">
        <v>1013</v>
      </c>
      <c r="F612" s="1">
        <v>12</v>
      </c>
      <c r="G612" s="1">
        <v>12156</v>
      </c>
      <c r="H612" s="1">
        <v>10575.72</v>
      </c>
      <c r="I612" s="1">
        <v>7536.7199999999993</v>
      </c>
      <c r="J612" t="s">
        <v>15</v>
      </c>
      <c r="K612">
        <v>2019</v>
      </c>
    </row>
    <row r="613" spans="1:11" hidden="1" x14ac:dyDescent="0.3">
      <c r="A613" t="s">
        <v>17</v>
      </c>
      <c r="B613" t="s">
        <v>40</v>
      </c>
      <c r="C613" t="s">
        <v>2</v>
      </c>
      <c r="D613" t="s">
        <v>1</v>
      </c>
      <c r="E613" s="1">
        <v>1583</v>
      </c>
      <c r="F613" s="1">
        <v>125</v>
      </c>
      <c r="G613" s="1">
        <v>197875</v>
      </c>
      <c r="H613" s="1">
        <v>172151.25</v>
      </c>
      <c r="I613" s="1">
        <v>-17808.75</v>
      </c>
      <c r="J613" t="s">
        <v>25</v>
      </c>
      <c r="K613">
        <v>2019</v>
      </c>
    </row>
    <row r="614" spans="1:11" hidden="1" x14ac:dyDescent="0.3">
      <c r="A614" t="s">
        <v>18</v>
      </c>
      <c r="B614" t="s">
        <v>40</v>
      </c>
      <c r="C614" t="s">
        <v>2</v>
      </c>
      <c r="D614" t="s">
        <v>1</v>
      </c>
      <c r="E614" s="1">
        <v>1565</v>
      </c>
      <c r="F614" s="1">
        <v>15</v>
      </c>
      <c r="G614" s="1">
        <v>23475</v>
      </c>
      <c r="H614" s="1">
        <v>20423.25</v>
      </c>
      <c r="I614" s="1">
        <v>4773.25</v>
      </c>
      <c r="J614" t="s">
        <v>10</v>
      </c>
      <c r="K614">
        <v>2019</v>
      </c>
    </row>
    <row r="615" spans="1:11" hidden="1" x14ac:dyDescent="0.3">
      <c r="A615" t="s">
        <v>17</v>
      </c>
      <c r="B615" t="s">
        <v>40</v>
      </c>
      <c r="C615" t="s">
        <v>11</v>
      </c>
      <c r="D615" t="s">
        <v>1</v>
      </c>
      <c r="E615" s="1">
        <v>1659</v>
      </c>
      <c r="F615" s="1">
        <v>125</v>
      </c>
      <c r="G615" s="1">
        <v>207375</v>
      </c>
      <c r="H615" s="1">
        <v>180416.25</v>
      </c>
      <c r="I615" s="1">
        <v>-18663.75</v>
      </c>
      <c r="J615" t="s">
        <v>24</v>
      </c>
      <c r="K615">
        <v>2019</v>
      </c>
    </row>
    <row r="616" spans="1:11" hidden="1" x14ac:dyDescent="0.3">
      <c r="A616" t="s">
        <v>6</v>
      </c>
      <c r="B616" t="s">
        <v>14</v>
      </c>
      <c r="C616" t="s">
        <v>11</v>
      </c>
      <c r="D616" t="s">
        <v>1</v>
      </c>
      <c r="E616" s="1">
        <v>1190</v>
      </c>
      <c r="F616" s="1">
        <v>7</v>
      </c>
      <c r="G616" s="1">
        <v>8330</v>
      </c>
      <c r="H616" s="1">
        <v>7247.1</v>
      </c>
      <c r="I616" s="1">
        <v>1297.1000000000004</v>
      </c>
      <c r="J616" t="s">
        <v>25</v>
      </c>
      <c r="K616">
        <v>2019</v>
      </c>
    </row>
    <row r="617" spans="1:11" hidden="1" x14ac:dyDescent="0.3">
      <c r="A617" t="s">
        <v>3</v>
      </c>
      <c r="B617" t="s">
        <v>9</v>
      </c>
      <c r="C617" t="s">
        <v>11</v>
      </c>
      <c r="D617" t="s">
        <v>1</v>
      </c>
      <c r="E617" s="1">
        <v>410</v>
      </c>
      <c r="F617" s="1">
        <v>12</v>
      </c>
      <c r="G617" s="1">
        <v>4920</v>
      </c>
      <c r="H617" s="1">
        <v>4280.3999999999996</v>
      </c>
      <c r="I617" s="1">
        <v>3050.3999999999996</v>
      </c>
      <c r="J617" t="s">
        <v>10</v>
      </c>
      <c r="K617">
        <v>2019</v>
      </c>
    </row>
    <row r="618" spans="1:11" hidden="1" x14ac:dyDescent="0.3">
      <c r="A618" t="s">
        <v>3</v>
      </c>
      <c r="B618" t="s">
        <v>41</v>
      </c>
      <c r="C618" t="s">
        <v>11</v>
      </c>
      <c r="D618" t="s">
        <v>1</v>
      </c>
      <c r="E618" s="1">
        <v>1770</v>
      </c>
      <c r="F618" s="1">
        <v>12</v>
      </c>
      <c r="G618" s="1">
        <v>21240</v>
      </c>
      <c r="H618" s="1">
        <v>18478.8</v>
      </c>
      <c r="I618" s="1">
        <v>13168.8</v>
      </c>
      <c r="J618" t="s">
        <v>15</v>
      </c>
      <c r="K618">
        <v>2018</v>
      </c>
    </row>
    <row r="619" spans="1:11" hidden="1" x14ac:dyDescent="0.3">
      <c r="A619" t="s">
        <v>6</v>
      </c>
      <c r="B619" t="s">
        <v>9</v>
      </c>
      <c r="C619" t="s">
        <v>23</v>
      </c>
      <c r="D619" t="s">
        <v>1</v>
      </c>
      <c r="E619" s="1">
        <v>2579</v>
      </c>
      <c r="F619" s="1">
        <v>20</v>
      </c>
      <c r="G619" s="1">
        <v>51580</v>
      </c>
      <c r="H619" s="1">
        <v>44358.8</v>
      </c>
      <c r="I619" s="1">
        <v>18568.800000000003</v>
      </c>
      <c r="J619" t="s">
        <v>4</v>
      </c>
      <c r="K619">
        <v>2019</v>
      </c>
    </row>
    <row r="620" spans="1:11" hidden="1" x14ac:dyDescent="0.3">
      <c r="A620" t="s">
        <v>6</v>
      </c>
      <c r="B620" t="s">
        <v>42</v>
      </c>
      <c r="C620" t="s">
        <v>23</v>
      </c>
      <c r="D620" t="s">
        <v>1</v>
      </c>
      <c r="E620" s="1">
        <v>1743</v>
      </c>
      <c r="F620" s="1">
        <v>20</v>
      </c>
      <c r="G620" s="1">
        <v>34860</v>
      </c>
      <c r="H620" s="1">
        <v>29979.599999999999</v>
      </c>
      <c r="I620" s="1">
        <v>12549.599999999999</v>
      </c>
      <c r="J620" t="s">
        <v>0</v>
      </c>
      <c r="K620">
        <v>2019</v>
      </c>
    </row>
    <row r="621" spans="1:11" hidden="1" x14ac:dyDescent="0.3">
      <c r="A621" t="s">
        <v>6</v>
      </c>
      <c r="B621" t="s">
        <v>42</v>
      </c>
      <c r="C621" t="s">
        <v>23</v>
      </c>
      <c r="D621" t="s">
        <v>1</v>
      </c>
      <c r="E621" s="1">
        <v>2996</v>
      </c>
      <c r="F621" s="1">
        <v>7</v>
      </c>
      <c r="G621" s="1">
        <v>20972</v>
      </c>
      <c r="H621" s="1">
        <v>18035.919999999998</v>
      </c>
      <c r="I621" s="1">
        <v>3055.9199999999983</v>
      </c>
      <c r="J621" t="s">
        <v>10</v>
      </c>
      <c r="K621">
        <v>2018</v>
      </c>
    </row>
    <row r="622" spans="1:11" hidden="1" x14ac:dyDescent="0.3">
      <c r="A622" t="s">
        <v>6</v>
      </c>
      <c r="B622" t="s">
        <v>41</v>
      </c>
      <c r="C622" t="s">
        <v>23</v>
      </c>
      <c r="D622" t="s">
        <v>1</v>
      </c>
      <c r="E622" s="1">
        <v>280</v>
      </c>
      <c r="F622" s="1">
        <v>7</v>
      </c>
      <c r="G622" s="1">
        <v>1960</v>
      </c>
      <c r="H622" s="1">
        <v>1685.6</v>
      </c>
      <c r="I622" s="1">
        <v>285.59999999999991</v>
      </c>
      <c r="J622" t="s">
        <v>15</v>
      </c>
      <c r="K622">
        <v>2019</v>
      </c>
    </row>
    <row r="623" spans="1:11" hidden="1" x14ac:dyDescent="0.3">
      <c r="A623" t="s">
        <v>6</v>
      </c>
      <c r="B623" t="s">
        <v>14</v>
      </c>
      <c r="C623" t="s">
        <v>8</v>
      </c>
      <c r="D623" t="s">
        <v>1</v>
      </c>
      <c r="E623" s="1">
        <v>293</v>
      </c>
      <c r="F623" s="1">
        <v>7</v>
      </c>
      <c r="G623" s="1">
        <v>2051</v>
      </c>
      <c r="H623" s="1">
        <v>1763.8600000000001</v>
      </c>
      <c r="I623" s="1">
        <v>298.86000000000013</v>
      </c>
      <c r="J623" t="s">
        <v>7</v>
      </c>
      <c r="K623">
        <v>2019</v>
      </c>
    </row>
    <row r="624" spans="1:11" hidden="1" x14ac:dyDescent="0.3">
      <c r="A624" t="s">
        <v>6</v>
      </c>
      <c r="B624" t="s">
        <v>42</v>
      </c>
      <c r="C624" t="s">
        <v>8</v>
      </c>
      <c r="D624" t="s">
        <v>1</v>
      </c>
      <c r="E624" s="1">
        <v>2996</v>
      </c>
      <c r="F624" s="1">
        <v>7</v>
      </c>
      <c r="G624" s="1">
        <v>20972</v>
      </c>
      <c r="H624" s="1">
        <v>18035.919999999998</v>
      </c>
      <c r="I624" s="1">
        <v>3055.9199999999983</v>
      </c>
      <c r="J624" t="s">
        <v>10</v>
      </c>
      <c r="K624">
        <v>2018</v>
      </c>
    </row>
    <row r="625" spans="1:11" hidden="1" x14ac:dyDescent="0.3">
      <c r="A625" t="s">
        <v>18</v>
      </c>
      <c r="B625" t="s">
        <v>41</v>
      </c>
      <c r="C625" t="s">
        <v>5</v>
      </c>
      <c r="D625" t="s">
        <v>1</v>
      </c>
      <c r="E625" s="1">
        <v>278</v>
      </c>
      <c r="F625" s="1">
        <v>15</v>
      </c>
      <c r="G625" s="1">
        <v>4170</v>
      </c>
      <c r="H625" s="1">
        <v>3586.2</v>
      </c>
      <c r="I625" s="1">
        <v>806.19999999999982</v>
      </c>
      <c r="J625" t="s">
        <v>7</v>
      </c>
      <c r="K625">
        <v>2019</v>
      </c>
    </row>
    <row r="626" spans="1:11" hidden="1" x14ac:dyDescent="0.3">
      <c r="A626" t="s">
        <v>6</v>
      </c>
      <c r="B626" t="s">
        <v>40</v>
      </c>
      <c r="C626" t="s">
        <v>5</v>
      </c>
      <c r="D626" t="s">
        <v>1</v>
      </c>
      <c r="E626" s="1">
        <v>2428</v>
      </c>
      <c r="F626" s="1">
        <v>20</v>
      </c>
      <c r="G626" s="1">
        <v>48560</v>
      </c>
      <c r="H626" s="1">
        <v>41761.599999999999</v>
      </c>
      <c r="I626" s="1">
        <v>17481.599999999999</v>
      </c>
      <c r="J626" t="s">
        <v>13</v>
      </c>
      <c r="K626">
        <v>2019</v>
      </c>
    </row>
    <row r="627" spans="1:11" hidden="1" x14ac:dyDescent="0.3">
      <c r="A627" t="s">
        <v>18</v>
      </c>
      <c r="B627" t="s">
        <v>42</v>
      </c>
      <c r="C627" t="s">
        <v>5</v>
      </c>
      <c r="D627" t="s">
        <v>1</v>
      </c>
      <c r="E627" s="1">
        <v>1767</v>
      </c>
      <c r="F627" s="1">
        <v>15</v>
      </c>
      <c r="G627" s="1">
        <v>26505</v>
      </c>
      <c r="H627" s="1">
        <v>22794.3</v>
      </c>
      <c r="I627" s="1">
        <v>5124.2999999999993</v>
      </c>
      <c r="J627" t="s">
        <v>21</v>
      </c>
      <c r="K627">
        <v>2019</v>
      </c>
    </row>
    <row r="628" spans="1:11" hidden="1" x14ac:dyDescent="0.3">
      <c r="A628" t="s">
        <v>3</v>
      </c>
      <c r="B628" t="s">
        <v>14</v>
      </c>
      <c r="C628" t="s">
        <v>5</v>
      </c>
      <c r="D628" t="s">
        <v>1</v>
      </c>
      <c r="E628" s="1">
        <v>1393</v>
      </c>
      <c r="F628" s="1">
        <v>12</v>
      </c>
      <c r="G628" s="1">
        <v>16716</v>
      </c>
      <c r="H628" s="1">
        <v>14375.76</v>
      </c>
      <c r="I628" s="1">
        <v>10196.76</v>
      </c>
      <c r="J628" t="s">
        <v>10</v>
      </c>
      <c r="K628">
        <v>2019</v>
      </c>
    </row>
    <row r="629" spans="1:11" hidden="1" x14ac:dyDescent="0.3">
      <c r="A629" t="s">
        <v>6</v>
      </c>
      <c r="B629" t="s">
        <v>41</v>
      </c>
      <c r="C629" t="s">
        <v>2</v>
      </c>
      <c r="D629" t="s">
        <v>1</v>
      </c>
      <c r="E629" s="1">
        <v>280</v>
      </c>
      <c r="F629" s="1">
        <v>7</v>
      </c>
      <c r="G629" s="1">
        <v>1960</v>
      </c>
      <c r="H629" s="1">
        <v>1685.6</v>
      </c>
      <c r="I629" s="1">
        <v>285.59999999999991</v>
      </c>
      <c r="J629" t="s">
        <v>15</v>
      </c>
      <c r="K629">
        <v>2019</v>
      </c>
    </row>
    <row r="630" spans="1:11" hidden="1" x14ac:dyDescent="0.3">
      <c r="A630" t="s">
        <v>3</v>
      </c>
      <c r="B630" t="s">
        <v>14</v>
      </c>
      <c r="C630" t="s">
        <v>11</v>
      </c>
      <c r="D630" t="s">
        <v>1</v>
      </c>
      <c r="E630" s="1">
        <v>1393</v>
      </c>
      <c r="F630" s="1">
        <v>12</v>
      </c>
      <c r="G630" s="1">
        <v>16716</v>
      </c>
      <c r="H630" s="1">
        <v>14375.76</v>
      </c>
      <c r="I630" s="1">
        <v>10196.76</v>
      </c>
      <c r="J630" t="s">
        <v>10</v>
      </c>
      <c r="K630">
        <v>2019</v>
      </c>
    </row>
    <row r="631" spans="1:11" hidden="1" x14ac:dyDescent="0.3">
      <c r="A631" t="s">
        <v>3</v>
      </c>
      <c r="B631" t="s">
        <v>42</v>
      </c>
      <c r="C631" t="s">
        <v>11</v>
      </c>
      <c r="D631" t="s">
        <v>1</v>
      </c>
      <c r="E631" s="1">
        <v>2015</v>
      </c>
      <c r="F631" s="1">
        <v>12</v>
      </c>
      <c r="G631" s="1">
        <v>24180</v>
      </c>
      <c r="H631" s="1">
        <v>20794.8</v>
      </c>
      <c r="I631" s="1">
        <v>14749.8</v>
      </c>
      <c r="J631" t="s">
        <v>15</v>
      </c>
      <c r="K631">
        <v>2018</v>
      </c>
    </row>
    <row r="632" spans="1:11" hidden="1" x14ac:dyDescent="0.3">
      <c r="A632" t="s">
        <v>12</v>
      </c>
      <c r="B632" t="s">
        <v>9</v>
      </c>
      <c r="C632" t="s">
        <v>23</v>
      </c>
      <c r="D632" t="s">
        <v>1</v>
      </c>
      <c r="E632" s="1">
        <v>801</v>
      </c>
      <c r="F632" s="1">
        <v>300</v>
      </c>
      <c r="G632" s="1">
        <v>240300</v>
      </c>
      <c r="H632" s="1">
        <v>206658</v>
      </c>
      <c r="I632" s="1">
        <v>6408</v>
      </c>
      <c r="J632" t="s">
        <v>19</v>
      </c>
      <c r="K632">
        <v>2019</v>
      </c>
    </row>
    <row r="633" spans="1:11" hidden="1" x14ac:dyDescent="0.3">
      <c r="A633" t="s">
        <v>17</v>
      </c>
      <c r="B633" t="s">
        <v>14</v>
      </c>
      <c r="C633" t="s">
        <v>23</v>
      </c>
      <c r="D633" t="s">
        <v>1</v>
      </c>
      <c r="E633" s="1">
        <v>1023</v>
      </c>
      <c r="F633" s="1">
        <v>125</v>
      </c>
      <c r="G633" s="1">
        <v>127875</v>
      </c>
      <c r="H633" s="1">
        <v>109972.5</v>
      </c>
      <c r="I633" s="1">
        <v>-12787.5</v>
      </c>
      <c r="J633" t="s">
        <v>21</v>
      </c>
      <c r="K633">
        <v>2018</v>
      </c>
    </row>
    <row r="634" spans="1:11" hidden="1" x14ac:dyDescent="0.3">
      <c r="A634" t="s">
        <v>12</v>
      </c>
      <c r="B634" t="s">
        <v>40</v>
      </c>
      <c r="C634" t="s">
        <v>23</v>
      </c>
      <c r="D634" t="s">
        <v>1</v>
      </c>
      <c r="E634" s="1">
        <v>1496</v>
      </c>
      <c r="F634" s="1">
        <v>300</v>
      </c>
      <c r="G634" s="1">
        <v>448800</v>
      </c>
      <c r="H634" s="1">
        <v>385968</v>
      </c>
      <c r="I634" s="1">
        <v>11968</v>
      </c>
      <c r="J634" t="s">
        <v>10</v>
      </c>
      <c r="K634">
        <v>2019</v>
      </c>
    </row>
    <row r="635" spans="1:11" hidden="1" x14ac:dyDescent="0.3">
      <c r="A635" t="s">
        <v>12</v>
      </c>
      <c r="B635" t="s">
        <v>42</v>
      </c>
      <c r="C635" t="s">
        <v>23</v>
      </c>
      <c r="D635" t="s">
        <v>1</v>
      </c>
      <c r="E635" s="1">
        <v>1010</v>
      </c>
      <c r="F635" s="1">
        <v>300</v>
      </c>
      <c r="G635" s="1">
        <v>303000</v>
      </c>
      <c r="H635" s="1">
        <v>260580</v>
      </c>
      <c r="I635" s="1">
        <v>8080</v>
      </c>
      <c r="J635" t="s">
        <v>10</v>
      </c>
      <c r="K635">
        <v>2019</v>
      </c>
    </row>
    <row r="636" spans="1:11" hidden="1" x14ac:dyDescent="0.3">
      <c r="A636" t="s">
        <v>18</v>
      </c>
      <c r="B636" t="s">
        <v>41</v>
      </c>
      <c r="C636" t="s">
        <v>23</v>
      </c>
      <c r="D636" t="s">
        <v>1</v>
      </c>
      <c r="E636" s="1">
        <v>1513</v>
      </c>
      <c r="F636" s="1">
        <v>15</v>
      </c>
      <c r="G636" s="1">
        <v>22695</v>
      </c>
      <c r="H636" s="1">
        <v>19517.7</v>
      </c>
      <c r="I636" s="1">
        <v>4387.7000000000007</v>
      </c>
      <c r="J636" t="s">
        <v>16</v>
      </c>
      <c r="K636">
        <v>2019</v>
      </c>
    </row>
    <row r="637" spans="1:11" hidden="1" x14ac:dyDescent="0.3">
      <c r="A637" t="s">
        <v>18</v>
      </c>
      <c r="B637" t="s">
        <v>40</v>
      </c>
      <c r="C637" t="s">
        <v>23</v>
      </c>
      <c r="D637" t="s">
        <v>1</v>
      </c>
      <c r="E637" s="1">
        <v>2300</v>
      </c>
      <c r="F637" s="1">
        <v>15</v>
      </c>
      <c r="G637" s="1">
        <v>34500</v>
      </c>
      <c r="H637" s="1">
        <v>29670</v>
      </c>
      <c r="I637" s="1">
        <v>6670</v>
      </c>
      <c r="J637" t="s">
        <v>15</v>
      </c>
      <c r="K637">
        <v>2019</v>
      </c>
    </row>
    <row r="638" spans="1:11" hidden="1" x14ac:dyDescent="0.3">
      <c r="A638" t="s">
        <v>17</v>
      </c>
      <c r="B638" t="s">
        <v>9</v>
      </c>
      <c r="C638" t="s">
        <v>23</v>
      </c>
      <c r="D638" t="s">
        <v>1</v>
      </c>
      <c r="E638" s="1">
        <v>2821</v>
      </c>
      <c r="F638" s="1">
        <v>125</v>
      </c>
      <c r="G638" s="1">
        <v>352625</v>
      </c>
      <c r="H638" s="1">
        <v>303257.5</v>
      </c>
      <c r="I638" s="1">
        <v>-35262.5</v>
      </c>
      <c r="J638" t="s">
        <v>15</v>
      </c>
      <c r="K638">
        <v>2018</v>
      </c>
    </row>
    <row r="639" spans="1:11" hidden="1" x14ac:dyDescent="0.3">
      <c r="A639" t="s">
        <v>6</v>
      </c>
      <c r="B639" t="s">
        <v>40</v>
      </c>
      <c r="C639" t="s">
        <v>8</v>
      </c>
      <c r="D639" t="s">
        <v>1</v>
      </c>
      <c r="E639" s="1">
        <v>2227.5</v>
      </c>
      <c r="F639" s="1">
        <v>350</v>
      </c>
      <c r="G639" s="1">
        <v>779625</v>
      </c>
      <c r="H639" s="1">
        <v>670477.5</v>
      </c>
      <c r="I639" s="1">
        <v>91327.5</v>
      </c>
      <c r="J639" t="s">
        <v>24</v>
      </c>
      <c r="K639">
        <v>2019</v>
      </c>
    </row>
    <row r="640" spans="1:11" hidden="1" x14ac:dyDescent="0.3">
      <c r="A640" t="s">
        <v>6</v>
      </c>
      <c r="B640" t="s">
        <v>41</v>
      </c>
      <c r="C640" t="s">
        <v>8</v>
      </c>
      <c r="D640" t="s">
        <v>1</v>
      </c>
      <c r="E640" s="1">
        <v>1199</v>
      </c>
      <c r="F640" s="1">
        <v>350</v>
      </c>
      <c r="G640" s="1">
        <v>419650</v>
      </c>
      <c r="H640" s="1">
        <v>360899</v>
      </c>
      <c r="I640" s="1">
        <v>49159</v>
      </c>
      <c r="J640" t="s">
        <v>4</v>
      </c>
      <c r="K640">
        <v>2019</v>
      </c>
    </row>
    <row r="641" spans="1:11" hidden="1" x14ac:dyDescent="0.3">
      <c r="A641" t="s">
        <v>6</v>
      </c>
      <c r="B641" t="s">
        <v>40</v>
      </c>
      <c r="C641" t="s">
        <v>8</v>
      </c>
      <c r="D641" t="s">
        <v>1</v>
      </c>
      <c r="E641" s="1">
        <v>200</v>
      </c>
      <c r="F641" s="1">
        <v>350</v>
      </c>
      <c r="G641" s="1">
        <v>70000</v>
      </c>
      <c r="H641" s="1">
        <v>60200</v>
      </c>
      <c r="I641" s="1">
        <v>8200</v>
      </c>
      <c r="J641" t="s">
        <v>0</v>
      </c>
      <c r="K641">
        <v>2019</v>
      </c>
    </row>
    <row r="642" spans="1:11" hidden="1" x14ac:dyDescent="0.3">
      <c r="A642" t="s">
        <v>6</v>
      </c>
      <c r="B642" t="s">
        <v>40</v>
      </c>
      <c r="C642" t="s">
        <v>8</v>
      </c>
      <c r="D642" t="s">
        <v>1</v>
      </c>
      <c r="E642" s="1">
        <v>388</v>
      </c>
      <c r="F642" s="1">
        <v>7</v>
      </c>
      <c r="G642" s="1">
        <v>2716</v>
      </c>
      <c r="H642" s="1">
        <v>2335.7600000000002</v>
      </c>
      <c r="I642" s="1">
        <v>395.76000000000022</v>
      </c>
      <c r="J642" t="s">
        <v>21</v>
      </c>
      <c r="K642">
        <v>2019</v>
      </c>
    </row>
    <row r="643" spans="1:11" hidden="1" x14ac:dyDescent="0.3">
      <c r="A643" t="s">
        <v>6</v>
      </c>
      <c r="B643" t="s">
        <v>9</v>
      </c>
      <c r="C643" t="s">
        <v>8</v>
      </c>
      <c r="D643" t="s">
        <v>1</v>
      </c>
      <c r="E643" s="1">
        <v>1727</v>
      </c>
      <c r="F643" s="1">
        <v>7</v>
      </c>
      <c r="G643" s="1">
        <v>12089</v>
      </c>
      <c r="H643" s="1">
        <v>10396.540000000001</v>
      </c>
      <c r="I643" s="1">
        <v>1761.5400000000009</v>
      </c>
      <c r="J643" t="s">
        <v>10</v>
      </c>
      <c r="K643">
        <v>2018</v>
      </c>
    </row>
    <row r="644" spans="1:11" hidden="1" x14ac:dyDescent="0.3">
      <c r="A644" t="s">
        <v>18</v>
      </c>
      <c r="B644" t="s">
        <v>40</v>
      </c>
      <c r="C644" t="s">
        <v>8</v>
      </c>
      <c r="D644" t="s">
        <v>1</v>
      </c>
      <c r="E644" s="1">
        <v>2300</v>
      </c>
      <c r="F644" s="1">
        <v>15</v>
      </c>
      <c r="G644" s="1">
        <v>34500</v>
      </c>
      <c r="H644" s="1">
        <v>29670</v>
      </c>
      <c r="I644" s="1">
        <v>6670</v>
      </c>
      <c r="J644" t="s">
        <v>15</v>
      </c>
      <c r="K644">
        <v>2019</v>
      </c>
    </row>
    <row r="645" spans="1:11" hidden="1" x14ac:dyDescent="0.3">
      <c r="A645" t="s">
        <v>6</v>
      </c>
      <c r="B645" t="s">
        <v>9</v>
      </c>
      <c r="C645" t="s">
        <v>5</v>
      </c>
      <c r="D645" t="s">
        <v>1</v>
      </c>
      <c r="E645" s="1">
        <v>260</v>
      </c>
      <c r="F645" s="1">
        <v>20</v>
      </c>
      <c r="G645" s="1">
        <v>5200</v>
      </c>
      <c r="H645" s="1">
        <v>4472</v>
      </c>
      <c r="I645" s="1">
        <v>1872</v>
      </c>
      <c r="J645" t="s">
        <v>7</v>
      </c>
      <c r="K645">
        <v>2019</v>
      </c>
    </row>
    <row r="646" spans="1:11" hidden="1" x14ac:dyDescent="0.3">
      <c r="A646" t="s">
        <v>18</v>
      </c>
      <c r="B646" t="s">
        <v>40</v>
      </c>
      <c r="C646" t="s">
        <v>5</v>
      </c>
      <c r="D646" t="s">
        <v>1</v>
      </c>
      <c r="E646" s="1">
        <v>2470</v>
      </c>
      <c r="F646" s="1">
        <v>15</v>
      </c>
      <c r="G646" s="1">
        <v>37050</v>
      </c>
      <c r="H646" s="1">
        <v>31863</v>
      </c>
      <c r="I646" s="1">
        <v>7163</v>
      </c>
      <c r="J646" t="s">
        <v>21</v>
      </c>
      <c r="K646">
        <v>2018</v>
      </c>
    </row>
    <row r="647" spans="1:11" hidden="1" x14ac:dyDescent="0.3">
      <c r="A647" t="s">
        <v>18</v>
      </c>
      <c r="B647" t="s">
        <v>40</v>
      </c>
      <c r="C647" t="s">
        <v>5</v>
      </c>
      <c r="D647" t="s">
        <v>1</v>
      </c>
      <c r="E647" s="1">
        <v>1743</v>
      </c>
      <c r="F647" s="1">
        <v>15</v>
      </c>
      <c r="G647" s="1">
        <v>26145</v>
      </c>
      <c r="H647" s="1">
        <v>22484.7</v>
      </c>
      <c r="I647" s="1">
        <v>5054.7000000000007</v>
      </c>
      <c r="J647" t="s">
        <v>10</v>
      </c>
      <c r="K647">
        <v>2018</v>
      </c>
    </row>
    <row r="648" spans="1:11" hidden="1" x14ac:dyDescent="0.3">
      <c r="A648" t="s">
        <v>3</v>
      </c>
      <c r="B648" t="s">
        <v>42</v>
      </c>
      <c r="C648" t="s">
        <v>5</v>
      </c>
      <c r="D648" t="s">
        <v>1</v>
      </c>
      <c r="E648" s="1">
        <v>2914</v>
      </c>
      <c r="F648" s="1">
        <v>12</v>
      </c>
      <c r="G648" s="1">
        <v>34968</v>
      </c>
      <c r="H648" s="1">
        <v>30072.48</v>
      </c>
      <c r="I648" s="1">
        <v>21330.48</v>
      </c>
      <c r="J648" t="s">
        <v>10</v>
      </c>
      <c r="K648">
        <v>2019</v>
      </c>
    </row>
    <row r="649" spans="1:11" hidden="1" x14ac:dyDescent="0.3">
      <c r="A649" t="s">
        <v>6</v>
      </c>
      <c r="B649" t="s">
        <v>14</v>
      </c>
      <c r="C649" t="s">
        <v>5</v>
      </c>
      <c r="D649" t="s">
        <v>1</v>
      </c>
      <c r="E649" s="1">
        <v>1731</v>
      </c>
      <c r="F649" s="1">
        <v>7</v>
      </c>
      <c r="G649" s="1">
        <v>12117</v>
      </c>
      <c r="H649" s="1">
        <v>10420.619999999999</v>
      </c>
      <c r="I649" s="1">
        <v>1765.619999999999</v>
      </c>
      <c r="J649" t="s">
        <v>10</v>
      </c>
      <c r="K649">
        <v>2019</v>
      </c>
    </row>
    <row r="650" spans="1:11" hidden="1" x14ac:dyDescent="0.3">
      <c r="A650" t="s">
        <v>6</v>
      </c>
      <c r="B650" t="s">
        <v>40</v>
      </c>
      <c r="C650" t="s">
        <v>5</v>
      </c>
      <c r="D650" t="s">
        <v>1</v>
      </c>
      <c r="E650" s="1">
        <v>700</v>
      </c>
      <c r="F650" s="1">
        <v>350</v>
      </c>
      <c r="G650" s="1">
        <v>245000</v>
      </c>
      <c r="H650" s="1">
        <v>210700</v>
      </c>
      <c r="I650" s="1">
        <v>28700</v>
      </c>
      <c r="J650" t="s">
        <v>16</v>
      </c>
      <c r="K650">
        <v>2019</v>
      </c>
    </row>
    <row r="651" spans="1:11" x14ac:dyDescent="0.3">
      <c r="A651" t="s">
        <v>3</v>
      </c>
      <c r="B651" t="s">
        <v>40</v>
      </c>
      <c r="C651" t="s">
        <v>5</v>
      </c>
      <c r="D651" t="s">
        <v>1</v>
      </c>
      <c r="E651" s="1">
        <v>2222</v>
      </c>
      <c r="F651" s="1">
        <v>12</v>
      </c>
      <c r="G651" s="1">
        <v>26664</v>
      </c>
      <c r="H651" s="1">
        <v>22931.040000000001</v>
      </c>
      <c r="I651" s="1">
        <v>16265.04</v>
      </c>
      <c r="J651" t="s">
        <v>16</v>
      </c>
      <c r="K651">
        <v>2018</v>
      </c>
    </row>
    <row r="652" spans="1:11" hidden="1" x14ac:dyDescent="0.3">
      <c r="A652" t="s">
        <v>6</v>
      </c>
      <c r="B652" t="s">
        <v>42</v>
      </c>
      <c r="C652" t="s">
        <v>5</v>
      </c>
      <c r="D652" t="s">
        <v>1</v>
      </c>
      <c r="E652" s="1">
        <v>1177</v>
      </c>
      <c r="F652" s="1">
        <v>350</v>
      </c>
      <c r="G652" s="1">
        <v>411950</v>
      </c>
      <c r="H652" s="1">
        <v>354277</v>
      </c>
      <c r="I652" s="1">
        <v>48257</v>
      </c>
      <c r="J652" t="s">
        <v>16</v>
      </c>
      <c r="K652">
        <v>2019</v>
      </c>
    </row>
    <row r="653" spans="1:11" hidden="1" x14ac:dyDescent="0.3">
      <c r="A653" t="s">
        <v>6</v>
      </c>
      <c r="B653" t="s">
        <v>14</v>
      </c>
      <c r="C653" t="s">
        <v>5</v>
      </c>
      <c r="D653" t="s">
        <v>1</v>
      </c>
      <c r="E653" s="1">
        <v>1922</v>
      </c>
      <c r="F653" s="1">
        <v>350</v>
      </c>
      <c r="G653" s="1">
        <v>672700</v>
      </c>
      <c r="H653" s="1">
        <v>578522</v>
      </c>
      <c r="I653" s="1">
        <v>78802</v>
      </c>
      <c r="J653" t="s">
        <v>16</v>
      </c>
      <c r="K653">
        <v>2018</v>
      </c>
    </row>
    <row r="654" spans="1:11" hidden="1" x14ac:dyDescent="0.3">
      <c r="A654" t="s">
        <v>17</v>
      </c>
      <c r="B654" t="s">
        <v>9</v>
      </c>
      <c r="C654" t="s">
        <v>20</v>
      </c>
      <c r="D654" t="s">
        <v>1</v>
      </c>
      <c r="E654" s="1">
        <v>1575</v>
      </c>
      <c r="F654" s="1">
        <v>125</v>
      </c>
      <c r="G654" s="1">
        <v>196875</v>
      </c>
      <c r="H654" s="1">
        <v>169312.5</v>
      </c>
      <c r="I654" s="1">
        <v>-19687.5</v>
      </c>
      <c r="J654" t="s">
        <v>7</v>
      </c>
      <c r="K654">
        <v>2019</v>
      </c>
    </row>
    <row r="655" spans="1:11" hidden="1" x14ac:dyDescent="0.3">
      <c r="A655" t="s">
        <v>6</v>
      </c>
      <c r="B655" t="s">
        <v>42</v>
      </c>
      <c r="C655" t="s">
        <v>20</v>
      </c>
      <c r="D655" t="s">
        <v>1</v>
      </c>
      <c r="E655" s="1">
        <v>606</v>
      </c>
      <c r="F655" s="1">
        <v>20</v>
      </c>
      <c r="G655" s="1">
        <v>12120</v>
      </c>
      <c r="H655" s="1">
        <v>10423.200000000001</v>
      </c>
      <c r="I655" s="1">
        <v>4363.2000000000007</v>
      </c>
      <c r="J655" t="s">
        <v>4</v>
      </c>
      <c r="K655">
        <v>2019</v>
      </c>
    </row>
    <row r="656" spans="1:11" hidden="1" x14ac:dyDescent="0.3">
      <c r="A656" t="s">
        <v>12</v>
      </c>
      <c r="B656" t="s">
        <v>42</v>
      </c>
      <c r="C656" t="s">
        <v>20</v>
      </c>
      <c r="D656" t="s">
        <v>1</v>
      </c>
      <c r="E656" s="1">
        <v>2460</v>
      </c>
      <c r="F656" s="1">
        <v>300</v>
      </c>
      <c r="G656" s="1">
        <v>738000</v>
      </c>
      <c r="H656" s="1">
        <v>634680</v>
      </c>
      <c r="I656" s="1">
        <v>19680</v>
      </c>
      <c r="J656" t="s">
        <v>19</v>
      </c>
      <c r="K656">
        <v>2019</v>
      </c>
    </row>
    <row r="657" spans="1:11" hidden="1" x14ac:dyDescent="0.3">
      <c r="A657" t="s">
        <v>12</v>
      </c>
      <c r="B657" t="s">
        <v>40</v>
      </c>
      <c r="C657" t="s">
        <v>20</v>
      </c>
      <c r="D657" t="s">
        <v>1</v>
      </c>
      <c r="E657" s="1">
        <v>269</v>
      </c>
      <c r="F657" s="1">
        <v>300</v>
      </c>
      <c r="G657" s="1">
        <v>80700</v>
      </c>
      <c r="H657" s="1">
        <v>69402</v>
      </c>
      <c r="I657" s="1">
        <v>2152</v>
      </c>
      <c r="J657" t="s">
        <v>10</v>
      </c>
      <c r="K657">
        <v>2018</v>
      </c>
    </row>
    <row r="658" spans="1:11" hidden="1" x14ac:dyDescent="0.3">
      <c r="A658" t="s">
        <v>12</v>
      </c>
      <c r="B658" t="s">
        <v>41</v>
      </c>
      <c r="C658" t="s">
        <v>20</v>
      </c>
      <c r="D658" t="s">
        <v>1</v>
      </c>
      <c r="E658" s="1">
        <v>2536</v>
      </c>
      <c r="F658" s="1">
        <v>300</v>
      </c>
      <c r="G658" s="1">
        <v>760800</v>
      </c>
      <c r="H658" s="1">
        <v>654288</v>
      </c>
      <c r="I658" s="1">
        <v>20288</v>
      </c>
      <c r="J658" t="s">
        <v>16</v>
      </c>
      <c r="K658">
        <v>2018</v>
      </c>
    </row>
    <row r="659" spans="1:11" hidden="1" x14ac:dyDescent="0.3">
      <c r="A659" t="s">
        <v>6</v>
      </c>
      <c r="B659" t="s">
        <v>9</v>
      </c>
      <c r="C659" t="s">
        <v>2</v>
      </c>
      <c r="D659" t="s">
        <v>1</v>
      </c>
      <c r="E659" s="1">
        <v>2903</v>
      </c>
      <c r="F659" s="1">
        <v>7</v>
      </c>
      <c r="G659" s="1">
        <v>20321</v>
      </c>
      <c r="H659" s="1">
        <v>17476.060000000001</v>
      </c>
      <c r="I659" s="1">
        <v>2961.0600000000013</v>
      </c>
      <c r="J659" t="s">
        <v>13</v>
      </c>
      <c r="K659">
        <v>2019</v>
      </c>
    </row>
    <row r="660" spans="1:11" hidden="1" x14ac:dyDescent="0.3">
      <c r="A660" t="s">
        <v>12</v>
      </c>
      <c r="B660" t="s">
        <v>42</v>
      </c>
      <c r="C660" t="s">
        <v>2</v>
      </c>
      <c r="D660" t="s">
        <v>1</v>
      </c>
      <c r="E660" s="1">
        <v>2541</v>
      </c>
      <c r="F660" s="1">
        <v>300</v>
      </c>
      <c r="G660" s="1">
        <v>762300</v>
      </c>
      <c r="H660" s="1">
        <v>655578</v>
      </c>
      <c r="I660" s="1">
        <v>20328</v>
      </c>
      <c r="J660" t="s">
        <v>22</v>
      </c>
      <c r="K660">
        <v>2019</v>
      </c>
    </row>
    <row r="661" spans="1:11" hidden="1" x14ac:dyDescent="0.3">
      <c r="A661" t="s">
        <v>12</v>
      </c>
      <c r="B661" t="s">
        <v>40</v>
      </c>
      <c r="C661" t="s">
        <v>2</v>
      </c>
      <c r="D661" t="s">
        <v>1</v>
      </c>
      <c r="E661" s="1">
        <v>269</v>
      </c>
      <c r="F661" s="1">
        <v>300</v>
      </c>
      <c r="G661" s="1">
        <v>80700</v>
      </c>
      <c r="H661" s="1">
        <v>69402</v>
      </c>
      <c r="I661" s="1">
        <v>2152</v>
      </c>
      <c r="J661" t="s">
        <v>10</v>
      </c>
      <c r="K661">
        <v>2018</v>
      </c>
    </row>
    <row r="662" spans="1:11" hidden="1" x14ac:dyDescent="0.3">
      <c r="A662" t="s">
        <v>12</v>
      </c>
      <c r="B662" t="s">
        <v>40</v>
      </c>
      <c r="C662" t="s">
        <v>2</v>
      </c>
      <c r="D662" t="s">
        <v>1</v>
      </c>
      <c r="E662" s="1">
        <v>1496</v>
      </c>
      <c r="F662" s="1">
        <v>300</v>
      </c>
      <c r="G662" s="1">
        <v>448800</v>
      </c>
      <c r="H662" s="1">
        <v>385968</v>
      </c>
      <c r="I662" s="1">
        <v>11968</v>
      </c>
      <c r="J662" t="s">
        <v>10</v>
      </c>
      <c r="K662">
        <v>2019</v>
      </c>
    </row>
    <row r="663" spans="1:11" hidden="1" x14ac:dyDescent="0.3">
      <c r="A663" t="s">
        <v>12</v>
      </c>
      <c r="B663" t="s">
        <v>42</v>
      </c>
      <c r="C663" t="s">
        <v>2</v>
      </c>
      <c r="D663" t="s">
        <v>1</v>
      </c>
      <c r="E663" s="1">
        <v>1010</v>
      </c>
      <c r="F663" s="1">
        <v>300</v>
      </c>
      <c r="G663" s="1">
        <v>303000</v>
      </c>
      <c r="H663" s="1">
        <v>260580</v>
      </c>
      <c r="I663" s="1">
        <v>8080</v>
      </c>
      <c r="J663" t="s">
        <v>10</v>
      </c>
      <c r="K663">
        <v>2019</v>
      </c>
    </row>
    <row r="664" spans="1:11" hidden="1" x14ac:dyDescent="0.3">
      <c r="A664" t="s">
        <v>6</v>
      </c>
      <c r="B664" t="s">
        <v>14</v>
      </c>
      <c r="C664" t="s">
        <v>2</v>
      </c>
      <c r="D664" t="s">
        <v>1</v>
      </c>
      <c r="E664" s="1">
        <v>1281</v>
      </c>
      <c r="F664" s="1">
        <v>350</v>
      </c>
      <c r="G664" s="1">
        <v>448350</v>
      </c>
      <c r="H664" s="1">
        <v>385581</v>
      </c>
      <c r="I664" s="1">
        <v>52521</v>
      </c>
      <c r="J664" t="s">
        <v>15</v>
      </c>
      <c r="K664">
        <v>2018</v>
      </c>
    </row>
    <row r="665" spans="1:11" hidden="1" x14ac:dyDescent="0.3">
      <c r="A665" t="s">
        <v>12</v>
      </c>
      <c r="B665" t="s">
        <v>40</v>
      </c>
      <c r="C665" t="s">
        <v>11</v>
      </c>
      <c r="D665" t="s">
        <v>1</v>
      </c>
      <c r="E665" s="1">
        <v>888</v>
      </c>
      <c r="F665" s="1">
        <v>300</v>
      </c>
      <c r="G665" s="1">
        <v>266400</v>
      </c>
      <c r="H665" s="1">
        <v>229104</v>
      </c>
      <c r="I665" s="1">
        <v>7104</v>
      </c>
      <c r="J665" t="s">
        <v>13</v>
      </c>
      <c r="K665">
        <v>2019</v>
      </c>
    </row>
    <row r="666" spans="1:11" hidden="1" x14ac:dyDescent="0.3">
      <c r="A666" t="s">
        <v>17</v>
      </c>
      <c r="B666" t="s">
        <v>42</v>
      </c>
      <c r="C666" t="s">
        <v>11</v>
      </c>
      <c r="D666" t="s">
        <v>1</v>
      </c>
      <c r="E666" s="1">
        <v>2844</v>
      </c>
      <c r="F666" s="1">
        <v>125</v>
      </c>
      <c r="G666" s="1">
        <v>355500</v>
      </c>
      <c r="H666" s="1">
        <v>305730</v>
      </c>
      <c r="I666" s="1">
        <v>-35550</v>
      </c>
      <c r="J666" t="s">
        <v>0</v>
      </c>
      <c r="K666">
        <v>2019</v>
      </c>
    </row>
    <row r="667" spans="1:11" hidden="1" x14ac:dyDescent="0.3">
      <c r="A667" t="s">
        <v>3</v>
      </c>
      <c r="B667" t="s">
        <v>14</v>
      </c>
      <c r="C667" t="s">
        <v>11</v>
      </c>
      <c r="D667" t="s">
        <v>1</v>
      </c>
      <c r="E667" s="1">
        <v>2475</v>
      </c>
      <c r="F667" s="1">
        <v>12</v>
      </c>
      <c r="G667" s="1">
        <v>29700</v>
      </c>
      <c r="H667" s="1">
        <v>25542</v>
      </c>
      <c r="I667" s="1">
        <v>18117</v>
      </c>
      <c r="J667" t="s">
        <v>22</v>
      </c>
      <c r="K667">
        <v>2019</v>
      </c>
    </row>
    <row r="668" spans="1:11" hidden="1" x14ac:dyDescent="0.3">
      <c r="A668" t="s">
        <v>18</v>
      </c>
      <c r="B668" t="s">
        <v>40</v>
      </c>
      <c r="C668" t="s">
        <v>11</v>
      </c>
      <c r="D668" t="s">
        <v>1</v>
      </c>
      <c r="E668" s="1">
        <v>1743</v>
      </c>
      <c r="F668" s="1">
        <v>15</v>
      </c>
      <c r="G668" s="1">
        <v>26145</v>
      </c>
      <c r="H668" s="1">
        <v>22484.7</v>
      </c>
      <c r="I668" s="1">
        <v>5054.7000000000007</v>
      </c>
      <c r="J668" t="s">
        <v>10</v>
      </c>
      <c r="K668">
        <v>2018</v>
      </c>
    </row>
    <row r="669" spans="1:11" hidden="1" x14ac:dyDescent="0.3">
      <c r="A669" t="s">
        <v>3</v>
      </c>
      <c r="B669" t="s">
        <v>42</v>
      </c>
      <c r="C669" t="s">
        <v>11</v>
      </c>
      <c r="D669" t="s">
        <v>1</v>
      </c>
      <c r="E669" s="1">
        <v>2914</v>
      </c>
      <c r="F669" s="1">
        <v>12</v>
      </c>
      <c r="G669" s="1">
        <v>34968</v>
      </c>
      <c r="H669" s="1">
        <v>30072.48</v>
      </c>
      <c r="I669" s="1">
        <v>21330.48</v>
      </c>
      <c r="J669" t="s">
        <v>10</v>
      </c>
      <c r="K669">
        <v>2019</v>
      </c>
    </row>
    <row r="670" spans="1:11" hidden="1" x14ac:dyDescent="0.3">
      <c r="A670" t="s">
        <v>6</v>
      </c>
      <c r="B670" t="s">
        <v>14</v>
      </c>
      <c r="C670" t="s">
        <v>11</v>
      </c>
      <c r="D670" t="s">
        <v>1</v>
      </c>
      <c r="E670" s="1">
        <v>1731</v>
      </c>
      <c r="F670" s="1">
        <v>7</v>
      </c>
      <c r="G670" s="1">
        <v>12117</v>
      </c>
      <c r="H670" s="1">
        <v>10420.619999999999</v>
      </c>
      <c r="I670" s="1">
        <v>1765.619999999999</v>
      </c>
      <c r="J670" t="s">
        <v>10</v>
      </c>
      <c r="K670">
        <v>2019</v>
      </c>
    </row>
    <row r="671" spans="1:11" hidden="1" x14ac:dyDescent="0.3">
      <c r="A671" t="s">
        <v>6</v>
      </c>
      <c r="B671" t="s">
        <v>9</v>
      </c>
      <c r="C671" t="s">
        <v>11</v>
      </c>
      <c r="D671" t="s">
        <v>1</v>
      </c>
      <c r="E671" s="1">
        <v>1727</v>
      </c>
      <c r="F671" s="1">
        <v>7</v>
      </c>
      <c r="G671" s="1">
        <v>12089</v>
      </c>
      <c r="H671" s="1">
        <v>10396.540000000001</v>
      </c>
      <c r="I671" s="1">
        <v>1761.5400000000009</v>
      </c>
      <c r="J671" t="s">
        <v>10</v>
      </c>
      <c r="K671">
        <v>2018</v>
      </c>
    </row>
    <row r="672" spans="1:11" hidden="1" x14ac:dyDescent="0.3">
      <c r="A672" t="s">
        <v>18</v>
      </c>
      <c r="B672" t="s">
        <v>9</v>
      </c>
      <c r="C672" t="s">
        <v>11</v>
      </c>
      <c r="D672" t="s">
        <v>1</v>
      </c>
      <c r="E672" s="1">
        <v>1870</v>
      </c>
      <c r="F672" s="1">
        <v>15</v>
      </c>
      <c r="G672" s="1">
        <v>28050</v>
      </c>
      <c r="H672" s="1">
        <v>24123</v>
      </c>
      <c r="I672" s="1">
        <v>5423</v>
      </c>
      <c r="J672" t="s">
        <v>16</v>
      </c>
      <c r="K672">
        <v>2018</v>
      </c>
    </row>
    <row r="673" spans="1:11" hidden="1" x14ac:dyDescent="0.3">
      <c r="A673" t="s">
        <v>17</v>
      </c>
      <c r="B673" t="s">
        <v>14</v>
      </c>
      <c r="C673" t="s">
        <v>23</v>
      </c>
      <c r="D673" t="s">
        <v>1</v>
      </c>
      <c r="E673" s="1">
        <v>1174</v>
      </c>
      <c r="F673" s="1">
        <v>125</v>
      </c>
      <c r="G673" s="1">
        <v>146750</v>
      </c>
      <c r="H673" s="1">
        <v>124737.5</v>
      </c>
      <c r="I673" s="1">
        <v>-16142.5</v>
      </c>
      <c r="J673" t="s">
        <v>22</v>
      </c>
      <c r="K673">
        <v>2019</v>
      </c>
    </row>
    <row r="674" spans="1:11" hidden="1" x14ac:dyDescent="0.3">
      <c r="A674" t="s">
        <v>17</v>
      </c>
      <c r="B674" t="s">
        <v>41</v>
      </c>
      <c r="C674" t="s">
        <v>23</v>
      </c>
      <c r="D674" t="s">
        <v>1</v>
      </c>
      <c r="E674" s="1">
        <v>2767</v>
      </c>
      <c r="F674" s="1">
        <v>125</v>
      </c>
      <c r="G674" s="1">
        <v>345875</v>
      </c>
      <c r="H674" s="1">
        <v>293993.75</v>
      </c>
      <c r="I674" s="1">
        <v>-38046.25</v>
      </c>
      <c r="J674" t="s">
        <v>22</v>
      </c>
      <c r="K674">
        <v>2019</v>
      </c>
    </row>
    <row r="675" spans="1:11" hidden="1" x14ac:dyDescent="0.3">
      <c r="A675" t="s">
        <v>17</v>
      </c>
      <c r="B675" t="s">
        <v>41</v>
      </c>
      <c r="C675" t="s">
        <v>23</v>
      </c>
      <c r="D675" t="s">
        <v>1</v>
      </c>
      <c r="E675" s="1">
        <v>1085</v>
      </c>
      <c r="F675" s="1">
        <v>125</v>
      </c>
      <c r="G675" s="1">
        <v>135625</v>
      </c>
      <c r="H675" s="1">
        <v>115281.25</v>
      </c>
      <c r="I675" s="1">
        <v>-14918.75</v>
      </c>
      <c r="J675" t="s">
        <v>10</v>
      </c>
      <c r="K675">
        <v>2019</v>
      </c>
    </row>
    <row r="676" spans="1:11" hidden="1" x14ac:dyDescent="0.3">
      <c r="A676" t="s">
        <v>12</v>
      </c>
      <c r="B676" t="s">
        <v>9</v>
      </c>
      <c r="C676" t="s">
        <v>8</v>
      </c>
      <c r="D676" t="s">
        <v>1</v>
      </c>
      <c r="E676" s="1">
        <v>546</v>
      </c>
      <c r="F676" s="1">
        <v>300</v>
      </c>
      <c r="G676" s="1">
        <v>163800</v>
      </c>
      <c r="H676" s="1">
        <v>139230</v>
      </c>
      <c r="I676" s="1">
        <v>2730</v>
      </c>
      <c r="J676" t="s">
        <v>10</v>
      </c>
      <c r="K676">
        <v>2019</v>
      </c>
    </row>
    <row r="677" spans="1:11" hidden="1" x14ac:dyDescent="0.3">
      <c r="A677" t="s">
        <v>6</v>
      </c>
      <c r="B677" t="s">
        <v>41</v>
      </c>
      <c r="C677" t="s">
        <v>5</v>
      </c>
      <c r="D677" t="s">
        <v>1</v>
      </c>
      <c r="E677" s="1">
        <v>1158</v>
      </c>
      <c r="F677" s="1">
        <v>20</v>
      </c>
      <c r="G677" s="1">
        <v>23160</v>
      </c>
      <c r="H677" s="1">
        <v>19686</v>
      </c>
      <c r="I677" s="1">
        <v>8106</v>
      </c>
      <c r="J677" t="s">
        <v>13</v>
      </c>
      <c r="K677">
        <v>2019</v>
      </c>
    </row>
    <row r="678" spans="1:11" hidden="1" x14ac:dyDescent="0.3">
      <c r="A678" t="s">
        <v>18</v>
      </c>
      <c r="B678" t="s">
        <v>40</v>
      </c>
      <c r="C678" t="s">
        <v>5</v>
      </c>
      <c r="D678" t="s">
        <v>1</v>
      </c>
      <c r="E678" s="1">
        <v>1614</v>
      </c>
      <c r="F678" s="1">
        <v>15</v>
      </c>
      <c r="G678" s="1">
        <v>24210</v>
      </c>
      <c r="H678" s="1">
        <v>20578.5</v>
      </c>
      <c r="I678" s="1">
        <v>4438.5</v>
      </c>
      <c r="J678" t="s">
        <v>4</v>
      </c>
      <c r="K678">
        <v>2019</v>
      </c>
    </row>
    <row r="679" spans="1:11" hidden="1" x14ac:dyDescent="0.3">
      <c r="A679" t="s">
        <v>6</v>
      </c>
      <c r="B679" t="s">
        <v>9</v>
      </c>
      <c r="C679" t="s">
        <v>5</v>
      </c>
      <c r="D679" t="s">
        <v>1</v>
      </c>
      <c r="E679" s="1">
        <v>2535</v>
      </c>
      <c r="F679" s="1">
        <v>7</v>
      </c>
      <c r="G679" s="1">
        <v>17745</v>
      </c>
      <c r="H679" s="1">
        <v>15083.25</v>
      </c>
      <c r="I679" s="1">
        <v>2408.25</v>
      </c>
      <c r="J679" t="s">
        <v>4</v>
      </c>
      <c r="K679">
        <v>2019</v>
      </c>
    </row>
    <row r="680" spans="1:11" hidden="1" x14ac:dyDescent="0.3">
      <c r="A680" t="s">
        <v>6</v>
      </c>
      <c r="B680" t="s">
        <v>9</v>
      </c>
      <c r="C680" t="s">
        <v>5</v>
      </c>
      <c r="D680" t="s">
        <v>1</v>
      </c>
      <c r="E680" s="1">
        <v>2851</v>
      </c>
      <c r="F680" s="1">
        <v>350</v>
      </c>
      <c r="G680" s="1">
        <v>997850</v>
      </c>
      <c r="H680" s="1">
        <v>848172.5</v>
      </c>
      <c r="I680" s="1">
        <v>106912.5</v>
      </c>
      <c r="J680" t="s">
        <v>0</v>
      </c>
      <c r="K680">
        <v>2019</v>
      </c>
    </row>
    <row r="681" spans="1:11" hidden="1" x14ac:dyDescent="0.3">
      <c r="A681" t="s">
        <v>18</v>
      </c>
      <c r="B681" t="s">
        <v>40</v>
      </c>
      <c r="C681" t="s">
        <v>5</v>
      </c>
      <c r="D681" t="s">
        <v>1</v>
      </c>
      <c r="E681" s="1">
        <v>2559</v>
      </c>
      <c r="F681" s="1">
        <v>15</v>
      </c>
      <c r="G681" s="1">
        <v>38385</v>
      </c>
      <c r="H681" s="1">
        <v>32627.25</v>
      </c>
      <c r="I681" s="1">
        <v>7037.25</v>
      </c>
      <c r="J681" t="s">
        <v>22</v>
      </c>
      <c r="K681">
        <v>2019</v>
      </c>
    </row>
    <row r="682" spans="1:11" hidden="1" x14ac:dyDescent="0.3">
      <c r="A682" t="s">
        <v>6</v>
      </c>
      <c r="B682" t="s">
        <v>42</v>
      </c>
      <c r="C682" t="s">
        <v>5</v>
      </c>
      <c r="D682" t="s">
        <v>1</v>
      </c>
      <c r="E682" s="1">
        <v>267</v>
      </c>
      <c r="F682" s="1">
        <v>20</v>
      </c>
      <c r="G682" s="1">
        <v>5340</v>
      </c>
      <c r="H682" s="1">
        <v>4539</v>
      </c>
      <c r="I682" s="1">
        <v>1869</v>
      </c>
      <c r="J682" t="s">
        <v>10</v>
      </c>
      <c r="K682">
        <v>2018</v>
      </c>
    </row>
    <row r="683" spans="1:11" hidden="1" x14ac:dyDescent="0.3">
      <c r="A683" t="s">
        <v>17</v>
      </c>
      <c r="B683" t="s">
        <v>41</v>
      </c>
      <c r="C683" t="s">
        <v>5</v>
      </c>
      <c r="D683" t="s">
        <v>1</v>
      </c>
      <c r="E683" s="1">
        <v>1085</v>
      </c>
      <c r="F683" s="1">
        <v>125</v>
      </c>
      <c r="G683" s="1">
        <v>135625</v>
      </c>
      <c r="H683" s="1">
        <v>115281.25</v>
      </c>
      <c r="I683" s="1">
        <v>-14918.75</v>
      </c>
      <c r="J683" t="s">
        <v>10</v>
      </c>
      <c r="K683">
        <v>2019</v>
      </c>
    </row>
    <row r="684" spans="1:11" hidden="1" x14ac:dyDescent="0.3">
      <c r="A684" t="s">
        <v>18</v>
      </c>
      <c r="B684" t="s">
        <v>41</v>
      </c>
      <c r="C684" t="s">
        <v>5</v>
      </c>
      <c r="D684" t="s">
        <v>1</v>
      </c>
      <c r="E684" s="1">
        <v>1175</v>
      </c>
      <c r="F684" s="1">
        <v>15</v>
      </c>
      <c r="G684" s="1">
        <v>17625</v>
      </c>
      <c r="H684" s="1">
        <v>14981.25</v>
      </c>
      <c r="I684" s="1">
        <v>3231.25</v>
      </c>
      <c r="J684" t="s">
        <v>10</v>
      </c>
      <c r="K684">
        <v>2019</v>
      </c>
    </row>
    <row r="685" spans="1:11" hidden="1" x14ac:dyDescent="0.3">
      <c r="A685" t="s">
        <v>6</v>
      </c>
      <c r="B685" t="s">
        <v>42</v>
      </c>
      <c r="C685" t="s">
        <v>5</v>
      </c>
      <c r="D685" t="s">
        <v>1</v>
      </c>
      <c r="E685" s="1">
        <v>2007</v>
      </c>
      <c r="F685" s="1">
        <v>350</v>
      </c>
      <c r="G685" s="1">
        <v>702450</v>
      </c>
      <c r="H685" s="1">
        <v>597082.5</v>
      </c>
      <c r="I685" s="1">
        <v>75262.5</v>
      </c>
      <c r="J685" t="s">
        <v>16</v>
      </c>
      <c r="K685">
        <v>2018</v>
      </c>
    </row>
    <row r="686" spans="1:11" hidden="1" x14ac:dyDescent="0.3">
      <c r="A686" t="s">
        <v>6</v>
      </c>
      <c r="B686" t="s">
        <v>9</v>
      </c>
      <c r="C686" t="s">
        <v>5</v>
      </c>
      <c r="D686" t="s">
        <v>1</v>
      </c>
      <c r="E686" s="1">
        <v>2151</v>
      </c>
      <c r="F686" s="1">
        <v>350</v>
      </c>
      <c r="G686" s="1">
        <v>752850</v>
      </c>
      <c r="H686" s="1">
        <v>639922.5</v>
      </c>
      <c r="I686" s="1">
        <v>80662.5</v>
      </c>
      <c r="J686" t="s">
        <v>16</v>
      </c>
      <c r="K686">
        <v>2018</v>
      </c>
    </row>
    <row r="687" spans="1:11" hidden="1" x14ac:dyDescent="0.3">
      <c r="A687" t="s">
        <v>3</v>
      </c>
      <c r="B687" t="s">
        <v>42</v>
      </c>
      <c r="C687" t="s">
        <v>5</v>
      </c>
      <c r="D687" t="s">
        <v>1</v>
      </c>
      <c r="E687" s="1">
        <v>914</v>
      </c>
      <c r="F687" s="1">
        <v>12</v>
      </c>
      <c r="G687" s="1">
        <v>10968</v>
      </c>
      <c r="H687" s="1">
        <v>9322.7999999999993</v>
      </c>
      <c r="I687" s="1">
        <v>6580.7999999999993</v>
      </c>
      <c r="J687" t="s">
        <v>15</v>
      </c>
      <c r="K687">
        <v>2019</v>
      </c>
    </row>
    <row r="688" spans="1:11" hidden="1" x14ac:dyDescent="0.3">
      <c r="A688" t="s">
        <v>6</v>
      </c>
      <c r="B688" t="s">
        <v>14</v>
      </c>
      <c r="C688" t="s">
        <v>5</v>
      </c>
      <c r="D688" t="s">
        <v>1</v>
      </c>
      <c r="E688" s="1">
        <v>293</v>
      </c>
      <c r="F688" s="1">
        <v>20</v>
      </c>
      <c r="G688" s="1">
        <v>5860</v>
      </c>
      <c r="H688" s="1">
        <v>4981</v>
      </c>
      <c r="I688" s="1">
        <v>2051</v>
      </c>
      <c r="J688" t="s">
        <v>15</v>
      </c>
      <c r="K688">
        <v>2019</v>
      </c>
    </row>
    <row r="689" spans="1:11" hidden="1" x14ac:dyDescent="0.3">
      <c r="A689" t="s">
        <v>3</v>
      </c>
      <c r="B689" t="s">
        <v>9</v>
      </c>
      <c r="C689" t="s">
        <v>20</v>
      </c>
      <c r="D689" t="s">
        <v>1</v>
      </c>
      <c r="E689" s="1">
        <v>500</v>
      </c>
      <c r="F689" s="1">
        <v>12</v>
      </c>
      <c r="G689" s="1">
        <v>6000</v>
      </c>
      <c r="H689" s="1">
        <v>5100</v>
      </c>
      <c r="I689" s="1">
        <v>3600</v>
      </c>
      <c r="J689" t="s">
        <v>13</v>
      </c>
      <c r="K689">
        <v>2019</v>
      </c>
    </row>
    <row r="690" spans="1:11" hidden="1" x14ac:dyDescent="0.3">
      <c r="A690" t="s">
        <v>18</v>
      </c>
      <c r="B690" t="s">
        <v>14</v>
      </c>
      <c r="C690" t="s">
        <v>20</v>
      </c>
      <c r="D690" t="s">
        <v>1</v>
      </c>
      <c r="E690" s="1">
        <v>2826</v>
      </c>
      <c r="F690" s="1">
        <v>15</v>
      </c>
      <c r="G690" s="1">
        <v>42390</v>
      </c>
      <c r="H690" s="1">
        <v>36031.5</v>
      </c>
      <c r="I690" s="1">
        <v>7771.5</v>
      </c>
      <c r="J690" t="s">
        <v>0</v>
      </c>
      <c r="K690">
        <v>2019</v>
      </c>
    </row>
    <row r="691" spans="1:11" hidden="1" x14ac:dyDescent="0.3">
      <c r="A691" t="s">
        <v>17</v>
      </c>
      <c r="B691" t="s">
        <v>14</v>
      </c>
      <c r="C691" t="s">
        <v>20</v>
      </c>
      <c r="D691" t="s">
        <v>1</v>
      </c>
      <c r="E691" s="1">
        <v>663</v>
      </c>
      <c r="F691" s="1">
        <v>125</v>
      </c>
      <c r="G691" s="1">
        <v>82875</v>
      </c>
      <c r="H691" s="1">
        <v>70443.75</v>
      </c>
      <c r="I691" s="1">
        <v>-9116.25</v>
      </c>
      <c r="J691" t="s">
        <v>21</v>
      </c>
      <c r="K691">
        <v>2019</v>
      </c>
    </row>
    <row r="692" spans="1:11" hidden="1" x14ac:dyDescent="0.3">
      <c r="A692" t="s">
        <v>12</v>
      </c>
      <c r="B692" t="s">
        <v>42</v>
      </c>
      <c r="C692" t="s">
        <v>20</v>
      </c>
      <c r="D692" t="s">
        <v>1</v>
      </c>
      <c r="E692" s="1">
        <v>2574</v>
      </c>
      <c r="F692" s="1">
        <v>300</v>
      </c>
      <c r="G692" s="1">
        <v>772200</v>
      </c>
      <c r="H692" s="1">
        <v>656370</v>
      </c>
      <c r="I692" s="1">
        <v>12870</v>
      </c>
      <c r="J692" t="s">
        <v>16</v>
      </c>
      <c r="K692">
        <v>2018</v>
      </c>
    </row>
    <row r="693" spans="1:11" hidden="1" x14ac:dyDescent="0.3">
      <c r="A693" t="s">
        <v>17</v>
      </c>
      <c r="B693" t="s">
        <v>42</v>
      </c>
      <c r="C693" t="s">
        <v>20</v>
      </c>
      <c r="D693" t="s">
        <v>1</v>
      </c>
      <c r="E693" s="1">
        <v>2438</v>
      </c>
      <c r="F693" s="1">
        <v>125</v>
      </c>
      <c r="G693" s="1">
        <v>304750</v>
      </c>
      <c r="H693" s="1">
        <v>259037.5</v>
      </c>
      <c r="I693" s="1">
        <v>-33522.5</v>
      </c>
      <c r="J693" t="s">
        <v>15</v>
      </c>
      <c r="K693">
        <v>2018</v>
      </c>
    </row>
    <row r="694" spans="1:11" hidden="1" x14ac:dyDescent="0.3">
      <c r="A694" t="s">
        <v>3</v>
      </c>
      <c r="B694" t="s">
        <v>42</v>
      </c>
      <c r="C694" t="s">
        <v>20</v>
      </c>
      <c r="D694" t="s">
        <v>1</v>
      </c>
      <c r="E694" s="1">
        <v>914</v>
      </c>
      <c r="F694" s="1">
        <v>12</v>
      </c>
      <c r="G694" s="1">
        <v>10968</v>
      </c>
      <c r="H694" s="1">
        <v>9322.7999999999993</v>
      </c>
      <c r="I694" s="1">
        <v>6580.7999999999993</v>
      </c>
      <c r="J694" t="s">
        <v>15</v>
      </c>
      <c r="K694">
        <v>2019</v>
      </c>
    </row>
    <row r="695" spans="1:11" hidden="1" x14ac:dyDescent="0.3">
      <c r="A695" t="s">
        <v>6</v>
      </c>
      <c r="B695" t="s">
        <v>40</v>
      </c>
      <c r="C695" t="s">
        <v>2</v>
      </c>
      <c r="D695" t="s">
        <v>1</v>
      </c>
      <c r="E695" s="1">
        <v>865.5</v>
      </c>
      <c r="F695" s="1">
        <v>20</v>
      </c>
      <c r="G695" s="1">
        <v>17310</v>
      </c>
      <c r="H695" s="1">
        <v>14713.5</v>
      </c>
      <c r="I695" s="1">
        <v>6058.5</v>
      </c>
      <c r="J695" t="s">
        <v>19</v>
      </c>
      <c r="K695">
        <v>2019</v>
      </c>
    </row>
    <row r="696" spans="1:11" hidden="1" x14ac:dyDescent="0.3">
      <c r="A696" t="s">
        <v>18</v>
      </c>
      <c r="B696" t="s">
        <v>41</v>
      </c>
      <c r="C696" t="s">
        <v>2</v>
      </c>
      <c r="D696" t="s">
        <v>1</v>
      </c>
      <c r="E696" s="1">
        <v>492</v>
      </c>
      <c r="F696" s="1">
        <v>15</v>
      </c>
      <c r="G696" s="1">
        <v>7380</v>
      </c>
      <c r="H696" s="1">
        <v>6273</v>
      </c>
      <c r="I696" s="1">
        <v>1353</v>
      </c>
      <c r="J696" t="s">
        <v>19</v>
      </c>
      <c r="K696">
        <v>2019</v>
      </c>
    </row>
    <row r="697" spans="1:11" hidden="1" x14ac:dyDescent="0.3">
      <c r="A697" t="s">
        <v>6</v>
      </c>
      <c r="B697" t="s">
        <v>42</v>
      </c>
      <c r="C697" t="s">
        <v>2</v>
      </c>
      <c r="D697" t="s">
        <v>1</v>
      </c>
      <c r="E697" s="1">
        <v>267</v>
      </c>
      <c r="F697" s="1">
        <v>20</v>
      </c>
      <c r="G697" s="1">
        <v>5340</v>
      </c>
      <c r="H697" s="1">
        <v>4539</v>
      </c>
      <c r="I697" s="1">
        <v>1869</v>
      </c>
      <c r="J697" t="s">
        <v>10</v>
      </c>
      <c r="K697">
        <v>2018</v>
      </c>
    </row>
    <row r="698" spans="1:11" hidden="1" x14ac:dyDescent="0.3">
      <c r="A698" t="s">
        <v>18</v>
      </c>
      <c r="B698" t="s">
        <v>41</v>
      </c>
      <c r="C698" t="s">
        <v>2</v>
      </c>
      <c r="D698" t="s">
        <v>1</v>
      </c>
      <c r="E698" s="1">
        <v>1175</v>
      </c>
      <c r="F698" s="1">
        <v>15</v>
      </c>
      <c r="G698" s="1">
        <v>17625</v>
      </c>
      <c r="H698" s="1">
        <v>14981.25</v>
      </c>
      <c r="I698" s="1">
        <v>3231.25</v>
      </c>
      <c r="J698" t="s">
        <v>10</v>
      </c>
      <c r="K698">
        <v>2019</v>
      </c>
    </row>
    <row r="699" spans="1:11" hidden="1" x14ac:dyDescent="0.3">
      <c r="A699" t="s">
        <v>17</v>
      </c>
      <c r="B699" t="s">
        <v>40</v>
      </c>
      <c r="C699" t="s">
        <v>2</v>
      </c>
      <c r="D699" t="s">
        <v>1</v>
      </c>
      <c r="E699" s="1">
        <v>2954</v>
      </c>
      <c r="F699" s="1">
        <v>125</v>
      </c>
      <c r="G699" s="1">
        <v>369250</v>
      </c>
      <c r="H699" s="1">
        <v>313862.5</v>
      </c>
      <c r="I699" s="1">
        <v>-40617.5</v>
      </c>
      <c r="J699" t="s">
        <v>16</v>
      </c>
      <c r="K699">
        <v>2018</v>
      </c>
    </row>
    <row r="700" spans="1:11" hidden="1" x14ac:dyDescent="0.3">
      <c r="A700" t="s">
        <v>17</v>
      </c>
      <c r="B700" t="s">
        <v>41</v>
      </c>
      <c r="C700" t="s">
        <v>2</v>
      </c>
      <c r="D700" t="s">
        <v>1</v>
      </c>
      <c r="E700" s="1">
        <v>552</v>
      </c>
      <c r="F700" s="1">
        <v>125</v>
      </c>
      <c r="G700" s="1">
        <v>69000</v>
      </c>
      <c r="H700" s="1">
        <v>58650</v>
      </c>
      <c r="I700" s="1">
        <v>-7590</v>
      </c>
      <c r="J700" t="s">
        <v>16</v>
      </c>
      <c r="K700">
        <v>2019</v>
      </c>
    </row>
    <row r="701" spans="1:11" hidden="1" x14ac:dyDescent="0.3">
      <c r="A701" t="s">
        <v>6</v>
      </c>
      <c r="B701" t="s">
        <v>14</v>
      </c>
      <c r="C701" t="s">
        <v>2</v>
      </c>
      <c r="D701" t="s">
        <v>1</v>
      </c>
      <c r="E701" s="1">
        <v>293</v>
      </c>
      <c r="F701" s="1">
        <v>20</v>
      </c>
      <c r="G701" s="1">
        <v>5860</v>
      </c>
      <c r="H701" s="1">
        <v>4981</v>
      </c>
      <c r="I701" s="1">
        <v>2051</v>
      </c>
      <c r="J701" t="s">
        <v>15</v>
      </c>
      <c r="K701">
        <v>2019</v>
      </c>
    </row>
    <row r="702" spans="1:11" hidden="1" x14ac:dyDescent="0.3">
      <c r="A702" t="s">
        <v>12</v>
      </c>
      <c r="B702" t="s">
        <v>14</v>
      </c>
      <c r="C702" t="s">
        <v>11</v>
      </c>
      <c r="D702" t="s">
        <v>1</v>
      </c>
      <c r="E702" s="1">
        <v>2475</v>
      </c>
      <c r="F702" s="1">
        <v>300</v>
      </c>
      <c r="G702" s="1">
        <v>742500</v>
      </c>
      <c r="H702" s="1">
        <v>631125</v>
      </c>
      <c r="I702" s="1">
        <v>12375</v>
      </c>
      <c r="J702" t="s">
        <v>13</v>
      </c>
      <c r="K702">
        <v>2019</v>
      </c>
    </row>
    <row r="703" spans="1:11" hidden="1" x14ac:dyDescent="0.3">
      <c r="A703" t="s">
        <v>12</v>
      </c>
      <c r="B703" t="s">
        <v>9</v>
      </c>
      <c r="C703" t="s">
        <v>11</v>
      </c>
      <c r="D703" t="s">
        <v>1</v>
      </c>
      <c r="E703" s="1">
        <v>546</v>
      </c>
      <c r="F703" s="1">
        <v>300</v>
      </c>
      <c r="G703" s="1">
        <v>163800</v>
      </c>
      <c r="H703" s="1">
        <v>139230</v>
      </c>
      <c r="I703" s="1">
        <v>2730</v>
      </c>
      <c r="J703" t="s">
        <v>10</v>
      </c>
      <c r="K703">
        <v>2019</v>
      </c>
    </row>
    <row r="704" spans="1:11" hidden="1" x14ac:dyDescent="0.3">
      <c r="A704" t="s">
        <v>6</v>
      </c>
      <c r="B704" t="s">
        <v>9</v>
      </c>
      <c r="C704" t="s">
        <v>8</v>
      </c>
      <c r="D704" t="s">
        <v>1</v>
      </c>
      <c r="E704" s="1">
        <v>1368</v>
      </c>
      <c r="F704" s="1">
        <v>7</v>
      </c>
      <c r="G704" s="1">
        <v>9576</v>
      </c>
      <c r="H704" s="1">
        <v>8139.6</v>
      </c>
      <c r="I704" s="1">
        <v>1299.6000000000004</v>
      </c>
      <c r="J704" t="s">
        <v>7</v>
      </c>
      <c r="K704">
        <v>2019</v>
      </c>
    </row>
    <row r="705" spans="1:11" hidden="1" x14ac:dyDescent="0.3">
      <c r="A705" t="s">
        <v>6</v>
      </c>
      <c r="B705" t="s">
        <v>40</v>
      </c>
      <c r="C705" t="s">
        <v>5</v>
      </c>
      <c r="D705" t="s">
        <v>1</v>
      </c>
      <c r="E705" s="1">
        <v>723</v>
      </c>
      <c r="F705" s="1">
        <v>7</v>
      </c>
      <c r="G705" s="1">
        <v>5061</v>
      </c>
      <c r="H705" s="1">
        <v>4301.8500000000004</v>
      </c>
      <c r="I705" s="1">
        <v>686.85000000000014</v>
      </c>
      <c r="J705" t="s">
        <v>4</v>
      </c>
      <c r="K705">
        <v>2019</v>
      </c>
    </row>
    <row r="706" spans="1:11" hidden="1" x14ac:dyDescent="0.3">
      <c r="A706" t="s">
        <v>3</v>
      </c>
      <c r="B706" t="s">
        <v>42</v>
      </c>
      <c r="C706" t="s">
        <v>2</v>
      </c>
      <c r="D706" t="s">
        <v>1</v>
      </c>
      <c r="E706" s="1">
        <v>1806</v>
      </c>
      <c r="F706" s="1">
        <v>12</v>
      </c>
      <c r="G706" s="1">
        <v>21672</v>
      </c>
      <c r="H706" s="1">
        <v>18421.2</v>
      </c>
      <c r="I706" s="1">
        <v>13003.2</v>
      </c>
      <c r="J706" t="s">
        <v>0</v>
      </c>
      <c r="K706"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AD1C-14CC-43A7-84E5-DBF37DE72B80}">
  <sheetPr>
    <tabColor theme="9" tint="-0.499984740745262"/>
  </sheetPr>
  <dimension ref="A1:W706"/>
  <sheetViews>
    <sheetView topLeftCell="I1" zoomScale="160" zoomScaleNormal="160" workbookViewId="0">
      <selection activeCell="O6" sqref="O6"/>
    </sheetView>
  </sheetViews>
  <sheetFormatPr defaultRowHeight="14.4" x14ac:dyDescent="0.3"/>
  <cols>
    <col min="1" max="1" width="16.109375" bestFit="1" customWidth="1"/>
    <col min="2" max="2" width="10" customWidth="1"/>
    <col min="3" max="3" width="9.77734375" customWidth="1"/>
    <col min="4" max="4" width="15.5546875" customWidth="1"/>
    <col min="5" max="5" width="13" style="1" customWidth="1"/>
    <col min="6" max="6" width="12.5546875" style="1" customWidth="1"/>
    <col min="7" max="8" width="15" style="1" bestFit="1" customWidth="1"/>
    <col min="9" max="9" width="13.33203125" style="1" bestFit="1" customWidth="1"/>
    <col min="10" max="10" width="14.5546875" customWidth="1"/>
    <col min="11" max="11" width="6.88671875" customWidth="1"/>
  </cols>
  <sheetData>
    <row r="1" spans="1:23" x14ac:dyDescent="0.3">
      <c r="A1" t="s">
        <v>39</v>
      </c>
      <c r="B1" t="s">
        <v>38</v>
      </c>
      <c r="C1" t="s">
        <v>37</v>
      </c>
      <c r="D1" t="s">
        <v>36</v>
      </c>
      <c r="E1" s="1" t="s">
        <v>35</v>
      </c>
      <c r="F1" s="1" t="s">
        <v>34</v>
      </c>
      <c r="G1" s="1" t="s">
        <v>33</v>
      </c>
      <c r="H1" s="1" t="s">
        <v>32</v>
      </c>
      <c r="I1" s="1" t="s">
        <v>31</v>
      </c>
      <c r="J1" t="s">
        <v>30</v>
      </c>
      <c r="K1" t="s">
        <v>29</v>
      </c>
    </row>
    <row r="2" spans="1:23" x14ac:dyDescent="0.3">
      <c r="A2" t="s">
        <v>6</v>
      </c>
      <c r="B2" t="s">
        <v>40</v>
      </c>
      <c r="C2" t="s">
        <v>23</v>
      </c>
      <c r="D2" t="s">
        <v>28</v>
      </c>
      <c r="E2" s="1">
        <v>1618.5</v>
      </c>
      <c r="F2" s="1">
        <v>20</v>
      </c>
      <c r="G2" s="1">
        <v>32370</v>
      </c>
      <c r="H2" s="1">
        <v>32370</v>
      </c>
      <c r="I2" s="1">
        <v>16185</v>
      </c>
      <c r="J2" t="s">
        <v>24</v>
      </c>
      <c r="K2">
        <v>2019</v>
      </c>
    </row>
    <row r="3" spans="1:23" x14ac:dyDescent="0.3">
      <c r="A3" t="s">
        <v>6</v>
      </c>
      <c r="B3" t="s">
        <v>41</v>
      </c>
      <c r="C3" t="s">
        <v>23</v>
      </c>
      <c r="D3" t="s">
        <v>28</v>
      </c>
      <c r="E3" s="1">
        <v>1321</v>
      </c>
      <c r="F3" s="1">
        <v>20</v>
      </c>
      <c r="G3" s="1">
        <v>26420</v>
      </c>
      <c r="H3" s="1">
        <v>26420</v>
      </c>
      <c r="I3" s="1">
        <v>13210</v>
      </c>
      <c r="J3" t="s">
        <v>24</v>
      </c>
      <c r="K3">
        <v>2019</v>
      </c>
    </row>
    <row r="4" spans="1:23" x14ac:dyDescent="0.3">
      <c r="A4" t="s">
        <v>18</v>
      </c>
      <c r="B4" t="s">
        <v>14</v>
      </c>
      <c r="C4" t="s">
        <v>23</v>
      </c>
      <c r="D4" t="s">
        <v>28</v>
      </c>
      <c r="E4" s="1">
        <v>2178</v>
      </c>
      <c r="F4" s="1">
        <v>15</v>
      </c>
      <c r="G4" s="1">
        <v>32670</v>
      </c>
      <c r="H4" s="1">
        <v>32670</v>
      </c>
      <c r="I4" s="1">
        <v>10890</v>
      </c>
      <c r="J4" t="s">
        <v>25</v>
      </c>
      <c r="K4">
        <v>2019</v>
      </c>
    </row>
    <row r="5" spans="1:23" x14ac:dyDescent="0.3">
      <c r="A5" t="s">
        <v>18</v>
      </c>
      <c r="B5" t="s">
        <v>41</v>
      </c>
      <c r="C5" t="s">
        <v>23</v>
      </c>
      <c r="D5" t="s">
        <v>28</v>
      </c>
      <c r="E5" s="1">
        <v>888</v>
      </c>
      <c r="F5" s="1">
        <v>15</v>
      </c>
      <c r="G5" s="1">
        <v>13320</v>
      </c>
      <c r="H5" s="1">
        <v>13320</v>
      </c>
      <c r="I5" s="1">
        <v>4440</v>
      </c>
      <c r="J5" t="s">
        <v>25</v>
      </c>
      <c r="K5">
        <v>2019</v>
      </c>
      <c r="M5" s="2" t="s">
        <v>43</v>
      </c>
      <c r="N5" s="2" t="s">
        <v>41</v>
      </c>
    </row>
    <row r="6" spans="1:23" x14ac:dyDescent="0.3">
      <c r="A6" t="s">
        <v>18</v>
      </c>
      <c r="B6" t="s">
        <v>9</v>
      </c>
      <c r="C6" t="s">
        <v>23</v>
      </c>
      <c r="D6" t="s">
        <v>28</v>
      </c>
      <c r="E6" s="1">
        <v>2470</v>
      </c>
      <c r="F6" s="1">
        <v>15</v>
      </c>
      <c r="G6" s="1">
        <v>37050</v>
      </c>
      <c r="H6" s="1">
        <v>37050</v>
      </c>
      <c r="I6" s="1">
        <v>12350</v>
      </c>
      <c r="J6" t="s">
        <v>25</v>
      </c>
      <c r="K6">
        <v>2019</v>
      </c>
      <c r="M6" s="3" t="s">
        <v>37</v>
      </c>
      <c r="N6" s="3" t="s">
        <v>8</v>
      </c>
    </row>
    <row r="7" spans="1:23" x14ac:dyDescent="0.3">
      <c r="A7" t="s">
        <v>6</v>
      </c>
      <c r="B7" t="s">
        <v>41</v>
      </c>
      <c r="C7" t="s">
        <v>23</v>
      </c>
      <c r="D7" t="s">
        <v>28</v>
      </c>
      <c r="E7" s="1">
        <v>1513</v>
      </c>
      <c r="F7" s="1">
        <v>350</v>
      </c>
      <c r="G7" s="1">
        <v>529550</v>
      </c>
      <c r="H7" s="1">
        <v>529550</v>
      </c>
      <c r="I7" s="1">
        <v>136170</v>
      </c>
      <c r="J7" t="s">
        <v>15</v>
      </c>
      <c r="K7">
        <v>2019</v>
      </c>
      <c r="M7" t="str" cm="1">
        <f t="array" ref="M7:W222">_xlfn._xlws.FILTER(Table13[#All],(Table13[[#All],[Country]]=N5)+(Table13[[#All],[Product]]=N6))</f>
        <v>Government</v>
      </c>
      <c r="N7" t="str">
        <v>Germany</v>
      </c>
      <c r="O7" t="str">
        <v>Carretera</v>
      </c>
      <c r="P7" t="str">
        <v>None</v>
      </c>
      <c r="Q7">
        <v>1321</v>
      </c>
      <c r="R7">
        <v>20</v>
      </c>
      <c r="S7">
        <v>26420</v>
      </c>
      <c r="T7">
        <v>26420</v>
      </c>
      <c r="U7">
        <v>13210</v>
      </c>
      <c r="V7" t="str">
        <v>Jan</v>
      </c>
      <c r="W7">
        <v>2019</v>
      </c>
    </row>
    <row r="8" spans="1:23" x14ac:dyDescent="0.3">
      <c r="A8" t="s">
        <v>18</v>
      </c>
      <c r="B8" t="s">
        <v>41</v>
      </c>
      <c r="C8" t="s">
        <v>8</v>
      </c>
      <c r="D8" t="s">
        <v>28</v>
      </c>
      <c r="E8" s="1">
        <v>921</v>
      </c>
      <c r="F8" s="1">
        <v>15</v>
      </c>
      <c r="G8" s="1">
        <v>13815</v>
      </c>
      <c r="H8" s="1">
        <v>13815</v>
      </c>
      <c r="I8" s="1">
        <v>4605</v>
      </c>
      <c r="J8" t="s">
        <v>13</v>
      </c>
      <c r="K8">
        <v>2019</v>
      </c>
      <c r="M8" t="str">
        <v>Midmarket</v>
      </c>
      <c r="N8" t="str">
        <v>Germany</v>
      </c>
      <c r="O8" t="str">
        <v>Carretera</v>
      </c>
      <c r="P8" t="str">
        <v>None</v>
      </c>
      <c r="Q8">
        <v>888</v>
      </c>
      <c r="R8">
        <v>15</v>
      </c>
      <c r="S8">
        <v>13320</v>
      </c>
      <c r="T8">
        <v>13320</v>
      </c>
      <c r="U8">
        <v>4440</v>
      </c>
      <c r="V8" t="str">
        <v>Jun</v>
      </c>
      <c r="W8">
        <v>2019</v>
      </c>
    </row>
    <row r="9" spans="1:23" x14ac:dyDescent="0.3">
      <c r="A9" t="s">
        <v>3</v>
      </c>
      <c r="B9" t="s">
        <v>40</v>
      </c>
      <c r="C9" t="s">
        <v>8</v>
      </c>
      <c r="D9" t="s">
        <v>28</v>
      </c>
      <c r="E9" s="1">
        <v>2518</v>
      </c>
      <c r="F9" s="1">
        <v>12</v>
      </c>
      <c r="G9" s="1">
        <v>30216</v>
      </c>
      <c r="H9" s="1">
        <v>30216</v>
      </c>
      <c r="I9" s="1">
        <v>22662</v>
      </c>
      <c r="J9" t="s">
        <v>25</v>
      </c>
      <c r="K9">
        <v>2019</v>
      </c>
      <c r="M9" t="str">
        <v>Government</v>
      </c>
      <c r="N9" t="str">
        <v>Germany</v>
      </c>
      <c r="O9" t="str">
        <v>Carretera</v>
      </c>
      <c r="P9" t="str">
        <v>None</v>
      </c>
      <c r="Q9">
        <v>1513</v>
      </c>
      <c r="R9">
        <v>350</v>
      </c>
      <c r="S9">
        <v>529550</v>
      </c>
      <c r="T9">
        <v>529550</v>
      </c>
      <c r="U9">
        <v>136170</v>
      </c>
      <c r="V9" t="str">
        <v>Dec</v>
      </c>
      <c r="W9">
        <v>2019</v>
      </c>
    </row>
    <row r="10" spans="1:23" x14ac:dyDescent="0.3">
      <c r="A10" t="s">
        <v>6</v>
      </c>
      <c r="B10" t="s">
        <v>14</v>
      </c>
      <c r="C10" t="s">
        <v>8</v>
      </c>
      <c r="D10" t="s">
        <v>28</v>
      </c>
      <c r="E10" s="1">
        <v>1899</v>
      </c>
      <c r="F10" s="1">
        <v>20</v>
      </c>
      <c r="G10" s="1">
        <v>37980</v>
      </c>
      <c r="H10" s="1">
        <v>37980</v>
      </c>
      <c r="I10" s="1">
        <v>18990</v>
      </c>
      <c r="J10" t="s">
        <v>25</v>
      </c>
      <c r="K10">
        <v>2019</v>
      </c>
      <c r="M10" t="str">
        <v>Midmarket</v>
      </c>
      <c r="N10" t="str">
        <v>Germany</v>
      </c>
      <c r="O10" t="str">
        <v>Montana</v>
      </c>
      <c r="P10" t="str">
        <v>None</v>
      </c>
      <c r="Q10">
        <v>921</v>
      </c>
      <c r="R10">
        <v>15</v>
      </c>
      <c r="S10">
        <v>13815</v>
      </c>
      <c r="T10">
        <v>13815</v>
      </c>
      <c r="U10">
        <v>4605</v>
      </c>
      <c r="V10" t="str">
        <v>Mar</v>
      </c>
      <c r="W10">
        <v>2019</v>
      </c>
    </row>
    <row r="11" spans="1:23" x14ac:dyDescent="0.3">
      <c r="A11" t="s">
        <v>3</v>
      </c>
      <c r="B11" t="s">
        <v>41</v>
      </c>
      <c r="C11" t="s">
        <v>8</v>
      </c>
      <c r="D11" t="s">
        <v>28</v>
      </c>
      <c r="E11" s="1">
        <v>1545</v>
      </c>
      <c r="F11" s="1">
        <v>12</v>
      </c>
      <c r="G11" s="1">
        <v>18540</v>
      </c>
      <c r="H11" s="1">
        <v>18540</v>
      </c>
      <c r="I11" s="1">
        <v>13905</v>
      </c>
      <c r="J11" t="s">
        <v>25</v>
      </c>
      <c r="K11">
        <v>2019</v>
      </c>
      <c r="M11" t="str">
        <v>Channel Partners</v>
      </c>
      <c r="N11" t="str">
        <v>Canada</v>
      </c>
      <c r="O11" t="str">
        <v>Montana</v>
      </c>
      <c r="P11" t="str">
        <v>None</v>
      </c>
      <c r="Q11">
        <v>2518</v>
      </c>
      <c r="R11">
        <v>12</v>
      </c>
      <c r="S11">
        <v>30216</v>
      </c>
      <c r="T11">
        <v>30216</v>
      </c>
      <c r="U11">
        <v>22662</v>
      </c>
      <c r="V11" t="str">
        <v>Jun</v>
      </c>
      <c r="W11">
        <v>2019</v>
      </c>
    </row>
    <row r="12" spans="1:23" x14ac:dyDescent="0.3">
      <c r="A12" t="s">
        <v>18</v>
      </c>
      <c r="B12" t="s">
        <v>9</v>
      </c>
      <c r="C12" t="s">
        <v>8</v>
      </c>
      <c r="D12" t="s">
        <v>28</v>
      </c>
      <c r="E12" s="1">
        <v>2470</v>
      </c>
      <c r="F12" s="1">
        <v>15</v>
      </c>
      <c r="G12" s="1">
        <v>37050</v>
      </c>
      <c r="H12" s="1">
        <v>37050</v>
      </c>
      <c r="I12" s="1">
        <v>12350</v>
      </c>
      <c r="J12" t="s">
        <v>25</v>
      </c>
      <c r="K12">
        <v>2019</v>
      </c>
      <c r="M12" t="str">
        <v>Government</v>
      </c>
      <c r="N12" t="str">
        <v>France</v>
      </c>
      <c r="O12" t="str">
        <v>Montana</v>
      </c>
      <c r="P12" t="str">
        <v>None</v>
      </c>
      <c r="Q12">
        <v>1899</v>
      </c>
      <c r="R12">
        <v>20</v>
      </c>
      <c r="S12">
        <v>37980</v>
      </c>
      <c r="T12">
        <v>37980</v>
      </c>
      <c r="U12">
        <v>18990</v>
      </c>
      <c r="V12" t="str">
        <v>Jun</v>
      </c>
      <c r="W12">
        <v>2019</v>
      </c>
    </row>
    <row r="13" spans="1:23" x14ac:dyDescent="0.3">
      <c r="A13" t="s">
        <v>17</v>
      </c>
      <c r="B13" t="s">
        <v>40</v>
      </c>
      <c r="C13" t="s">
        <v>8</v>
      </c>
      <c r="D13" t="s">
        <v>28</v>
      </c>
      <c r="E13" s="1">
        <v>2665.5</v>
      </c>
      <c r="F13" s="1">
        <v>125</v>
      </c>
      <c r="G13" s="1">
        <v>333187.5</v>
      </c>
      <c r="H13" s="1">
        <v>333187.5</v>
      </c>
      <c r="I13" s="1">
        <v>13327.5</v>
      </c>
      <c r="J13" t="s">
        <v>19</v>
      </c>
      <c r="K13">
        <v>2019</v>
      </c>
      <c r="M13" t="str">
        <v>Channel Partners</v>
      </c>
      <c r="N13" t="str">
        <v>Germany</v>
      </c>
      <c r="O13" t="str">
        <v>Montana</v>
      </c>
      <c r="P13" t="str">
        <v>None</v>
      </c>
      <c r="Q13">
        <v>1545</v>
      </c>
      <c r="R13">
        <v>12</v>
      </c>
      <c r="S13">
        <v>18540</v>
      </c>
      <c r="T13">
        <v>18540</v>
      </c>
      <c r="U13">
        <v>13905</v>
      </c>
      <c r="V13" t="str">
        <v>Jun</v>
      </c>
      <c r="W13">
        <v>2019</v>
      </c>
    </row>
    <row r="14" spans="1:23" x14ac:dyDescent="0.3">
      <c r="A14" t="s">
        <v>12</v>
      </c>
      <c r="B14" t="s">
        <v>9</v>
      </c>
      <c r="C14" t="s">
        <v>8</v>
      </c>
      <c r="D14" t="s">
        <v>28</v>
      </c>
      <c r="E14" s="1">
        <v>958</v>
      </c>
      <c r="F14" s="1">
        <v>300</v>
      </c>
      <c r="G14" s="1">
        <v>287400</v>
      </c>
      <c r="H14" s="1">
        <v>287400</v>
      </c>
      <c r="I14" s="1">
        <v>47900</v>
      </c>
      <c r="J14" t="s">
        <v>22</v>
      </c>
      <c r="K14">
        <v>2019</v>
      </c>
      <c r="M14" t="str">
        <v>Midmarket</v>
      </c>
      <c r="N14" t="str">
        <v>Mexico</v>
      </c>
      <c r="O14" t="str">
        <v>Montana</v>
      </c>
      <c r="P14" t="str">
        <v>None</v>
      </c>
      <c r="Q14">
        <v>2470</v>
      </c>
      <c r="R14">
        <v>15</v>
      </c>
      <c r="S14">
        <v>37050</v>
      </c>
      <c r="T14">
        <v>37050</v>
      </c>
      <c r="U14">
        <v>12350</v>
      </c>
      <c r="V14" t="str">
        <v>Jun</v>
      </c>
      <c r="W14">
        <v>2019</v>
      </c>
    </row>
    <row r="15" spans="1:23" x14ac:dyDescent="0.3">
      <c r="A15" t="s">
        <v>6</v>
      </c>
      <c r="B15" t="s">
        <v>41</v>
      </c>
      <c r="C15" t="s">
        <v>8</v>
      </c>
      <c r="D15" t="s">
        <v>28</v>
      </c>
      <c r="E15" s="1">
        <v>2146</v>
      </c>
      <c r="F15" s="1">
        <v>7</v>
      </c>
      <c r="G15" s="1">
        <v>15022</v>
      </c>
      <c r="H15" s="1">
        <v>15022</v>
      </c>
      <c r="I15" s="1">
        <v>4292</v>
      </c>
      <c r="J15" t="s">
        <v>21</v>
      </c>
      <c r="K15">
        <v>2019</v>
      </c>
      <c r="M15" t="str">
        <v>Enterprise</v>
      </c>
      <c r="N15" t="str">
        <v>Canada</v>
      </c>
      <c r="O15" t="str">
        <v>Montana</v>
      </c>
      <c r="P15" t="str">
        <v>None</v>
      </c>
      <c r="Q15">
        <v>2665.5</v>
      </c>
      <c r="R15">
        <v>125</v>
      </c>
      <c r="S15">
        <v>333187.5</v>
      </c>
      <c r="T15">
        <v>333187.5</v>
      </c>
      <c r="U15">
        <v>13327.5</v>
      </c>
      <c r="V15" t="str">
        <v>Jul</v>
      </c>
      <c r="W15">
        <v>2019</v>
      </c>
    </row>
    <row r="16" spans="1:23" x14ac:dyDescent="0.3">
      <c r="A16" t="s">
        <v>17</v>
      </c>
      <c r="B16" t="s">
        <v>40</v>
      </c>
      <c r="C16" t="s">
        <v>8</v>
      </c>
      <c r="D16" t="s">
        <v>28</v>
      </c>
      <c r="E16" s="1">
        <v>345</v>
      </c>
      <c r="F16" s="1">
        <v>125</v>
      </c>
      <c r="G16" s="1">
        <v>43125</v>
      </c>
      <c r="H16" s="1">
        <v>43125</v>
      </c>
      <c r="I16" s="1">
        <v>1725</v>
      </c>
      <c r="J16" t="s">
        <v>10</v>
      </c>
      <c r="K16">
        <v>2018</v>
      </c>
      <c r="M16" t="str">
        <v>Small Business</v>
      </c>
      <c r="N16" t="str">
        <v>Mexico</v>
      </c>
      <c r="O16" t="str">
        <v>Montana</v>
      </c>
      <c r="P16" t="str">
        <v>None</v>
      </c>
      <c r="Q16">
        <v>958</v>
      </c>
      <c r="R16">
        <v>300</v>
      </c>
      <c r="S16">
        <v>287400</v>
      </c>
      <c r="T16">
        <v>287400</v>
      </c>
      <c r="U16">
        <v>47900</v>
      </c>
      <c r="V16" t="str">
        <v>Aug</v>
      </c>
      <c r="W16">
        <v>2019</v>
      </c>
    </row>
    <row r="17" spans="1:23" x14ac:dyDescent="0.3">
      <c r="A17" t="s">
        <v>18</v>
      </c>
      <c r="B17" t="s">
        <v>42</v>
      </c>
      <c r="C17" t="s">
        <v>8</v>
      </c>
      <c r="D17" t="s">
        <v>28</v>
      </c>
      <c r="E17" s="1">
        <v>615</v>
      </c>
      <c r="F17" s="1">
        <v>15</v>
      </c>
      <c r="G17" s="1">
        <v>9225</v>
      </c>
      <c r="H17" s="1">
        <v>9225</v>
      </c>
      <c r="I17" s="1">
        <v>3075</v>
      </c>
      <c r="J17" t="s">
        <v>15</v>
      </c>
      <c r="K17">
        <v>2019</v>
      </c>
      <c r="M17" t="str">
        <v>Government</v>
      </c>
      <c r="N17" t="str">
        <v>Germany</v>
      </c>
      <c r="O17" t="str">
        <v>Montana</v>
      </c>
      <c r="P17" t="str">
        <v>None</v>
      </c>
      <c r="Q17">
        <v>2146</v>
      </c>
      <c r="R17">
        <v>7</v>
      </c>
      <c r="S17">
        <v>15022</v>
      </c>
      <c r="T17">
        <v>15022</v>
      </c>
      <c r="U17">
        <v>4292</v>
      </c>
      <c r="V17" t="str">
        <v>Sep</v>
      </c>
      <c r="W17">
        <v>2019</v>
      </c>
    </row>
    <row r="18" spans="1:23" x14ac:dyDescent="0.3">
      <c r="A18" t="s">
        <v>6</v>
      </c>
      <c r="B18" t="s">
        <v>40</v>
      </c>
      <c r="C18" t="s">
        <v>5</v>
      </c>
      <c r="D18" t="s">
        <v>28</v>
      </c>
      <c r="E18" s="1">
        <v>292</v>
      </c>
      <c r="F18" s="1">
        <v>20</v>
      </c>
      <c r="G18" s="1">
        <v>5840</v>
      </c>
      <c r="H18" s="1">
        <v>5840</v>
      </c>
      <c r="I18" s="1">
        <v>2920</v>
      </c>
      <c r="J18" t="s">
        <v>7</v>
      </c>
      <c r="K18">
        <v>2019</v>
      </c>
      <c r="M18" t="str">
        <v>Enterprise</v>
      </c>
      <c r="N18" t="str">
        <v>Canada</v>
      </c>
      <c r="O18" t="str">
        <v>Montana</v>
      </c>
      <c r="P18" t="str">
        <v>None</v>
      </c>
      <c r="Q18">
        <v>345</v>
      </c>
      <c r="R18">
        <v>125</v>
      </c>
      <c r="S18">
        <v>43125</v>
      </c>
      <c r="T18">
        <v>43125</v>
      </c>
      <c r="U18">
        <v>1725</v>
      </c>
      <c r="V18" t="str">
        <v>Oct</v>
      </c>
      <c r="W18">
        <v>2018</v>
      </c>
    </row>
    <row r="19" spans="1:23" x14ac:dyDescent="0.3">
      <c r="A19" t="s">
        <v>18</v>
      </c>
      <c r="B19" t="s">
        <v>9</v>
      </c>
      <c r="C19" t="s">
        <v>5</v>
      </c>
      <c r="D19" t="s">
        <v>28</v>
      </c>
      <c r="E19" s="1">
        <v>974</v>
      </c>
      <c r="F19" s="1">
        <v>15</v>
      </c>
      <c r="G19" s="1">
        <v>14610</v>
      </c>
      <c r="H19" s="1">
        <v>14610</v>
      </c>
      <c r="I19" s="1">
        <v>4870</v>
      </c>
      <c r="J19" t="s">
        <v>7</v>
      </c>
      <c r="K19">
        <v>2019</v>
      </c>
      <c r="M19" t="str">
        <v>Midmarket</v>
      </c>
      <c r="N19" t="str">
        <v>Usa</v>
      </c>
      <c r="O19" t="str">
        <v>Montana</v>
      </c>
      <c r="P19" t="str">
        <v>None</v>
      </c>
      <c r="Q19">
        <v>615</v>
      </c>
      <c r="R19">
        <v>15</v>
      </c>
      <c r="S19">
        <v>9225</v>
      </c>
      <c r="T19">
        <v>9225</v>
      </c>
      <c r="U19">
        <v>3075</v>
      </c>
      <c r="V19" t="str">
        <v>Dec</v>
      </c>
      <c r="W19">
        <v>2019</v>
      </c>
    </row>
    <row r="20" spans="1:23" x14ac:dyDescent="0.3">
      <c r="A20" t="s">
        <v>3</v>
      </c>
      <c r="B20" t="s">
        <v>40</v>
      </c>
      <c r="C20" t="s">
        <v>5</v>
      </c>
      <c r="D20" t="s">
        <v>28</v>
      </c>
      <c r="E20" s="1">
        <v>2518</v>
      </c>
      <c r="F20" s="1">
        <v>12</v>
      </c>
      <c r="G20" s="1">
        <v>30216</v>
      </c>
      <c r="H20" s="1">
        <v>30216</v>
      </c>
      <c r="I20" s="1">
        <v>22662</v>
      </c>
      <c r="J20" t="s">
        <v>25</v>
      </c>
      <c r="K20">
        <v>2019</v>
      </c>
      <c r="M20" t="str">
        <v>Government</v>
      </c>
      <c r="N20" t="str">
        <v>Germany</v>
      </c>
      <c r="O20" t="str">
        <v>Paseo</v>
      </c>
      <c r="P20" t="str">
        <v>None</v>
      </c>
      <c r="Q20">
        <v>1006</v>
      </c>
      <c r="R20">
        <v>350</v>
      </c>
      <c r="S20">
        <v>352100</v>
      </c>
      <c r="T20">
        <v>352100</v>
      </c>
      <c r="U20">
        <v>90540</v>
      </c>
      <c r="V20" t="str">
        <v>Jun</v>
      </c>
      <c r="W20">
        <v>2019</v>
      </c>
    </row>
    <row r="21" spans="1:23" x14ac:dyDescent="0.3">
      <c r="A21" t="s">
        <v>6</v>
      </c>
      <c r="B21" t="s">
        <v>41</v>
      </c>
      <c r="C21" t="s">
        <v>5</v>
      </c>
      <c r="D21" t="s">
        <v>28</v>
      </c>
      <c r="E21" s="1">
        <v>1006</v>
      </c>
      <c r="F21" s="1">
        <v>350</v>
      </c>
      <c r="G21" s="1">
        <v>352100</v>
      </c>
      <c r="H21" s="1">
        <v>352100</v>
      </c>
      <c r="I21" s="1">
        <v>90540</v>
      </c>
      <c r="J21" t="s">
        <v>25</v>
      </c>
      <c r="K21">
        <v>2019</v>
      </c>
      <c r="M21" t="str">
        <v>Channel Partners</v>
      </c>
      <c r="N21" t="str">
        <v>Germany</v>
      </c>
      <c r="O21" t="str">
        <v>Paseo</v>
      </c>
      <c r="P21" t="str">
        <v>None</v>
      </c>
      <c r="Q21">
        <v>367</v>
      </c>
      <c r="R21">
        <v>12</v>
      </c>
      <c r="S21">
        <v>4404</v>
      </c>
      <c r="T21">
        <v>4404</v>
      </c>
      <c r="U21">
        <v>3303</v>
      </c>
      <c r="V21" t="str">
        <v>Jul</v>
      </c>
      <c r="W21">
        <v>2019</v>
      </c>
    </row>
    <row r="22" spans="1:23" x14ac:dyDescent="0.3">
      <c r="A22" t="s">
        <v>3</v>
      </c>
      <c r="B22" t="s">
        <v>41</v>
      </c>
      <c r="C22" t="s">
        <v>5</v>
      </c>
      <c r="D22" t="s">
        <v>28</v>
      </c>
      <c r="E22" s="1">
        <v>367</v>
      </c>
      <c r="F22" s="1">
        <v>12</v>
      </c>
      <c r="G22" s="1">
        <v>4404</v>
      </c>
      <c r="H22" s="1">
        <v>4404</v>
      </c>
      <c r="I22" s="1">
        <v>3303</v>
      </c>
      <c r="J22" t="s">
        <v>19</v>
      </c>
      <c r="K22">
        <v>2019</v>
      </c>
      <c r="M22" t="str">
        <v>Government</v>
      </c>
      <c r="N22" t="str">
        <v>Germany</v>
      </c>
      <c r="O22" t="str">
        <v>Paseo</v>
      </c>
      <c r="P22" t="str">
        <v>None</v>
      </c>
      <c r="Q22">
        <v>1513</v>
      </c>
      <c r="R22">
        <v>350</v>
      </c>
      <c r="S22">
        <v>529550</v>
      </c>
      <c r="T22">
        <v>529550</v>
      </c>
      <c r="U22">
        <v>136170</v>
      </c>
      <c r="V22" t="str">
        <v>Dec</v>
      </c>
      <c r="W22">
        <v>2019</v>
      </c>
    </row>
    <row r="23" spans="1:23" x14ac:dyDescent="0.3">
      <c r="A23" t="s">
        <v>6</v>
      </c>
      <c r="B23" t="s">
        <v>9</v>
      </c>
      <c r="C23" t="s">
        <v>5</v>
      </c>
      <c r="D23" t="s">
        <v>28</v>
      </c>
      <c r="E23" s="1">
        <v>883</v>
      </c>
      <c r="F23" s="1">
        <v>7</v>
      </c>
      <c r="G23" s="1">
        <v>6181</v>
      </c>
      <c r="H23" s="1">
        <v>6181</v>
      </c>
      <c r="I23" s="1">
        <v>1766</v>
      </c>
      <c r="J23" t="s">
        <v>22</v>
      </c>
      <c r="K23">
        <v>2019</v>
      </c>
      <c r="M23" t="str">
        <v>Channel Partners</v>
      </c>
      <c r="N23" t="str">
        <v>Germany</v>
      </c>
      <c r="O23" t="str">
        <v>Velo</v>
      </c>
      <c r="P23" t="str">
        <v>None</v>
      </c>
      <c r="Q23">
        <v>2161</v>
      </c>
      <c r="R23">
        <v>12</v>
      </c>
      <c r="S23">
        <v>25932</v>
      </c>
      <c r="T23">
        <v>25932</v>
      </c>
      <c r="U23">
        <v>19449</v>
      </c>
      <c r="V23" t="str">
        <v>Mar</v>
      </c>
      <c r="W23">
        <v>2019</v>
      </c>
    </row>
    <row r="24" spans="1:23" x14ac:dyDescent="0.3">
      <c r="A24" t="s">
        <v>18</v>
      </c>
      <c r="B24" t="s">
        <v>14</v>
      </c>
      <c r="C24" t="s">
        <v>5</v>
      </c>
      <c r="D24" t="s">
        <v>28</v>
      </c>
      <c r="E24" s="1">
        <v>549</v>
      </c>
      <c r="F24" s="1">
        <v>15</v>
      </c>
      <c r="G24" s="1">
        <v>8235</v>
      </c>
      <c r="H24" s="1">
        <v>8235</v>
      </c>
      <c r="I24" s="1">
        <v>2745</v>
      </c>
      <c r="J24" t="s">
        <v>21</v>
      </c>
      <c r="K24">
        <v>2018</v>
      </c>
      <c r="M24" t="str">
        <v>Government</v>
      </c>
      <c r="N24" t="str">
        <v>Germany</v>
      </c>
      <c r="O24" t="str">
        <v>Velo</v>
      </c>
      <c r="P24" t="str">
        <v>None</v>
      </c>
      <c r="Q24">
        <v>1006</v>
      </c>
      <c r="R24">
        <v>350</v>
      </c>
      <c r="S24">
        <v>352100</v>
      </c>
      <c r="T24">
        <v>352100</v>
      </c>
      <c r="U24">
        <v>90540</v>
      </c>
      <c r="V24" t="str">
        <v>Jun</v>
      </c>
      <c r="W24">
        <v>2019</v>
      </c>
    </row>
    <row r="25" spans="1:23" x14ac:dyDescent="0.3">
      <c r="A25" t="s">
        <v>12</v>
      </c>
      <c r="B25" t="s">
        <v>9</v>
      </c>
      <c r="C25" t="s">
        <v>5</v>
      </c>
      <c r="D25" t="s">
        <v>28</v>
      </c>
      <c r="E25" s="1">
        <v>788</v>
      </c>
      <c r="F25" s="1">
        <v>300</v>
      </c>
      <c r="G25" s="1">
        <v>236400</v>
      </c>
      <c r="H25" s="1">
        <v>236400</v>
      </c>
      <c r="I25" s="1">
        <v>39400</v>
      </c>
      <c r="J25" t="s">
        <v>21</v>
      </c>
      <c r="K25">
        <v>2018</v>
      </c>
      <c r="M25" t="str">
        <v>Channel Partners</v>
      </c>
      <c r="N25" t="str">
        <v>Germany</v>
      </c>
      <c r="O25" t="str">
        <v>Velo</v>
      </c>
      <c r="P25" t="str">
        <v>None</v>
      </c>
      <c r="Q25">
        <v>1545</v>
      </c>
      <c r="R25">
        <v>12</v>
      </c>
      <c r="S25">
        <v>18540</v>
      </c>
      <c r="T25">
        <v>18540</v>
      </c>
      <c r="U25">
        <v>13905</v>
      </c>
      <c r="V25" t="str">
        <v>Jun</v>
      </c>
      <c r="W25">
        <v>2019</v>
      </c>
    </row>
    <row r="26" spans="1:23" x14ac:dyDescent="0.3">
      <c r="A26" t="s">
        <v>18</v>
      </c>
      <c r="B26" t="s">
        <v>9</v>
      </c>
      <c r="C26" t="s">
        <v>5</v>
      </c>
      <c r="D26" t="s">
        <v>28</v>
      </c>
      <c r="E26" s="1">
        <v>2472</v>
      </c>
      <c r="F26" s="1">
        <v>15</v>
      </c>
      <c r="G26" s="1">
        <v>37080</v>
      </c>
      <c r="H26" s="1">
        <v>37080</v>
      </c>
      <c r="I26" s="1">
        <v>12360</v>
      </c>
      <c r="J26" t="s">
        <v>21</v>
      </c>
      <c r="K26">
        <v>2019</v>
      </c>
      <c r="M26" t="str">
        <v>Channel Partners</v>
      </c>
      <c r="N26" t="str">
        <v>Germany</v>
      </c>
      <c r="O26" t="str">
        <v>VTT</v>
      </c>
      <c r="P26" t="str">
        <v>None</v>
      </c>
      <c r="Q26">
        <v>2838</v>
      </c>
      <c r="R26">
        <v>12</v>
      </c>
      <c r="S26">
        <v>34056</v>
      </c>
      <c r="T26">
        <v>34056</v>
      </c>
      <c r="U26">
        <v>25542</v>
      </c>
      <c r="V26" t="str">
        <v>Apr</v>
      </c>
      <c r="W26">
        <v>2019</v>
      </c>
    </row>
    <row r="27" spans="1:23" x14ac:dyDescent="0.3">
      <c r="A27" t="s">
        <v>6</v>
      </c>
      <c r="B27" t="s">
        <v>42</v>
      </c>
      <c r="C27" t="s">
        <v>5</v>
      </c>
      <c r="D27" t="s">
        <v>28</v>
      </c>
      <c r="E27" s="1">
        <v>1143</v>
      </c>
      <c r="F27" s="1">
        <v>7</v>
      </c>
      <c r="G27" s="1">
        <v>8001</v>
      </c>
      <c r="H27" s="1">
        <v>8001</v>
      </c>
      <c r="I27" s="1">
        <v>2286</v>
      </c>
      <c r="J27" t="s">
        <v>10</v>
      </c>
      <c r="K27">
        <v>2019</v>
      </c>
      <c r="M27" t="str">
        <v>Midmarket</v>
      </c>
      <c r="N27" t="str">
        <v>Germany</v>
      </c>
      <c r="O27" t="str">
        <v>VTT</v>
      </c>
      <c r="P27" t="str">
        <v>None</v>
      </c>
      <c r="Q27">
        <v>888</v>
      </c>
      <c r="R27">
        <v>15</v>
      </c>
      <c r="S27">
        <v>13320</v>
      </c>
      <c r="T27">
        <v>13320</v>
      </c>
      <c r="U27">
        <v>4440</v>
      </c>
      <c r="V27" t="str">
        <v>Jun</v>
      </c>
      <c r="W27">
        <v>2019</v>
      </c>
    </row>
    <row r="28" spans="1:23" x14ac:dyDescent="0.3">
      <c r="A28" t="s">
        <v>6</v>
      </c>
      <c r="B28" t="s">
        <v>40</v>
      </c>
      <c r="C28" t="s">
        <v>5</v>
      </c>
      <c r="D28" t="s">
        <v>28</v>
      </c>
      <c r="E28" s="1">
        <v>1725</v>
      </c>
      <c r="F28" s="1">
        <v>350</v>
      </c>
      <c r="G28" s="1">
        <v>603750</v>
      </c>
      <c r="H28" s="1">
        <v>603750</v>
      </c>
      <c r="I28" s="1">
        <v>155250</v>
      </c>
      <c r="J28" t="s">
        <v>16</v>
      </c>
      <c r="K28">
        <v>2018</v>
      </c>
      <c r="M28" t="str">
        <v>Enterprise</v>
      </c>
      <c r="N28" t="str">
        <v>Germany</v>
      </c>
      <c r="O28" t="str">
        <v>Amarilla</v>
      </c>
      <c r="P28" t="str">
        <v>None</v>
      </c>
      <c r="Q28">
        <v>4219.5</v>
      </c>
      <c r="R28">
        <v>125</v>
      </c>
      <c r="S28">
        <v>527437.5</v>
      </c>
      <c r="T28">
        <v>527437.5</v>
      </c>
      <c r="U28">
        <v>21097.5</v>
      </c>
      <c r="V28" t="str">
        <v>Apr</v>
      </c>
      <c r="W28">
        <v>2019</v>
      </c>
    </row>
    <row r="29" spans="1:23" x14ac:dyDescent="0.3">
      <c r="A29" t="s">
        <v>3</v>
      </c>
      <c r="B29" t="s">
        <v>42</v>
      </c>
      <c r="C29" t="s">
        <v>5</v>
      </c>
      <c r="D29" t="s">
        <v>28</v>
      </c>
      <c r="E29" s="1">
        <v>912</v>
      </c>
      <c r="F29" s="1">
        <v>12</v>
      </c>
      <c r="G29" s="1">
        <v>10944</v>
      </c>
      <c r="H29" s="1">
        <v>10944</v>
      </c>
      <c r="I29" s="1">
        <v>8208</v>
      </c>
      <c r="J29" t="s">
        <v>16</v>
      </c>
      <c r="K29">
        <v>2018</v>
      </c>
      <c r="M29" t="str">
        <v>Government</v>
      </c>
      <c r="N29" t="str">
        <v>Germany</v>
      </c>
      <c r="O29" t="str">
        <v>Amarilla</v>
      </c>
      <c r="P29" t="str">
        <v>None</v>
      </c>
      <c r="Q29">
        <v>1686</v>
      </c>
      <c r="R29">
        <v>7</v>
      </c>
      <c r="S29">
        <v>11802</v>
      </c>
      <c r="T29">
        <v>11802</v>
      </c>
      <c r="U29">
        <v>3372</v>
      </c>
      <c r="V29" t="str">
        <v>Jul</v>
      </c>
      <c r="W29">
        <v>2019</v>
      </c>
    </row>
    <row r="30" spans="1:23" x14ac:dyDescent="0.3">
      <c r="A30" t="s">
        <v>18</v>
      </c>
      <c r="B30" t="s">
        <v>40</v>
      </c>
      <c r="C30" t="s">
        <v>5</v>
      </c>
      <c r="D30" t="s">
        <v>28</v>
      </c>
      <c r="E30" s="1">
        <v>2152</v>
      </c>
      <c r="F30" s="1">
        <v>15</v>
      </c>
      <c r="G30" s="1">
        <v>32280</v>
      </c>
      <c r="H30" s="1">
        <v>32280</v>
      </c>
      <c r="I30" s="1">
        <v>10760</v>
      </c>
      <c r="J30" t="s">
        <v>15</v>
      </c>
      <c r="K30">
        <v>2018</v>
      </c>
      <c r="M30" t="str">
        <v>Channel Partners</v>
      </c>
      <c r="N30" t="str">
        <v>Germany</v>
      </c>
      <c r="O30" t="str">
        <v>Carretera</v>
      </c>
      <c r="P30" t="str">
        <v>Low</v>
      </c>
      <c r="Q30">
        <v>766</v>
      </c>
      <c r="R30">
        <v>12</v>
      </c>
      <c r="S30">
        <v>9192</v>
      </c>
      <c r="T30">
        <v>9100.08</v>
      </c>
      <c r="U30">
        <v>6802.08</v>
      </c>
      <c r="V30" t="str">
        <v>Oct</v>
      </c>
      <c r="W30">
        <v>2018</v>
      </c>
    </row>
    <row r="31" spans="1:23" x14ac:dyDescent="0.3">
      <c r="A31" t="s">
        <v>6</v>
      </c>
      <c r="B31" t="s">
        <v>40</v>
      </c>
      <c r="C31" t="s">
        <v>5</v>
      </c>
      <c r="D31" t="s">
        <v>28</v>
      </c>
      <c r="E31" s="1">
        <v>1817</v>
      </c>
      <c r="F31" s="1">
        <v>20</v>
      </c>
      <c r="G31" s="1">
        <v>36340</v>
      </c>
      <c r="H31" s="1">
        <v>36340</v>
      </c>
      <c r="I31" s="1">
        <v>18170</v>
      </c>
      <c r="J31" t="s">
        <v>15</v>
      </c>
      <c r="K31">
        <v>2019</v>
      </c>
      <c r="M31" t="str">
        <v>Midmarket</v>
      </c>
      <c r="N31" t="str">
        <v>Mexico</v>
      </c>
      <c r="O31" t="str">
        <v>Montana</v>
      </c>
      <c r="P31" t="str">
        <v>Low</v>
      </c>
      <c r="Q31">
        <v>2214</v>
      </c>
      <c r="R31">
        <v>15</v>
      </c>
      <c r="S31">
        <v>33210</v>
      </c>
      <c r="T31">
        <v>32877.9</v>
      </c>
      <c r="U31">
        <v>10737.900000000001</v>
      </c>
      <c r="V31" t="str">
        <v>Mar</v>
      </c>
      <c r="W31">
        <v>2019</v>
      </c>
    </row>
    <row r="32" spans="1:23" x14ac:dyDescent="0.3">
      <c r="A32" t="s">
        <v>6</v>
      </c>
      <c r="B32" t="s">
        <v>40</v>
      </c>
      <c r="C32" t="s">
        <v>5</v>
      </c>
      <c r="D32" t="s">
        <v>28</v>
      </c>
      <c r="E32" s="1">
        <v>1817</v>
      </c>
      <c r="F32" s="1">
        <v>20</v>
      </c>
      <c r="G32" s="1">
        <v>36340</v>
      </c>
      <c r="H32" s="1">
        <v>36340</v>
      </c>
      <c r="I32" s="1">
        <v>18170</v>
      </c>
      <c r="J32" t="s">
        <v>15</v>
      </c>
      <c r="K32">
        <v>2019</v>
      </c>
      <c r="M32" t="str">
        <v>Small Business</v>
      </c>
      <c r="N32" t="str">
        <v>Usa</v>
      </c>
      <c r="O32" t="str">
        <v>Montana</v>
      </c>
      <c r="P32" t="str">
        <v>Low</v>
      </c>
      <c r="Q32">
        <v>2301</v>
      </c>
      <c r="R32">
        <v>300</v>
      </c>
      <c r="S32">
        <v>690300</v>
      </c>
      <c r="T32">
        <v>683397</v>
      </c>
      <c r="U32">
        <v>108147</v>
      </c>
      <c r="V32" t="str">
        <v>Apr</v>
      </c>
      <c r="W32">
        <v>2019</v>
      </c>
    </row>
    <row r="33" spans="1:23" x14ac:dyDescent="0.3">
      <c r="A33" t="s">
        <v>6</v>
      </c>
      <c r="B33" t="s">
        <v>41</v>
      </c>
      <c r="C33" t="s">
        <v>5</v>
      </c>
      <c r="D33" t="s">
        <v>28</v>
      </c>
      <c r="E33" s="1">
        <v>1513</v>
      </c>
      <c r="F33" s="1">
        <v>350</v>
      </c>
      <c r="G33" s="1">
        <v>529550</v>
      </c>
      <c r="H33" s="1">
        <v>529550</v>
      </c>
      <c r="I33" s="1">
        <v>136170</v>
      </c>
      <c r="J33" t="s">
        <v>15</v>
      </c>
      <c r="K33">
        <v>2019</v>
      </c>
      <c r="M33" t="str">
        <v>Government</v>
      </c>
      <c r="N33" t="str">
        <v>France</v>
      </c>
      <c r="O33" t="str">
        <v>Montana</v>
      </c>
      <c r="P33" t="str">
        <v>Low</v>
      </c>
      <c r="Q33">
        <v>1375.5</v>
      </c>
      <c r="R33">
        <v>20</v>
      </c>
      <c r="S33">
        <v>27510</v>
      </c>
      <c r="T33">
        <v>27234.899999999998</v>
      </c>
      <c r="U33">
        <v>13479.899999999998</v>
      </c>
      <c r="V33" t="str">
        <v>Jul</v>
      </c>
      <c r="W33">
        <v>2019</v>
      </c>
    </row>
    <row r="34" spans="1:23" x14ac:dyDescent="0.3">
      <c r="A34" t="s">
        <v>6</v>
      </c>
      <c r="B34" t="s">
        <v>9</v>
      </c>
      <c r="C34" t="s">
        <v>20</v>
      </c>
      <c r="D34" t="s">
        <v>28</v>
      </c>
      <c r="E34" s="1">
        <v>1493</v>
      </c>
      <c r="F34" s="1">
        <v>7</v>
      </c>
      <c r="G34" s="1">
        <v>10451</v>
      </c>
      <c r="H34" s="1">
        <v>10451</v>
      </c>
      <c r="I34" s="1">
        <v>2986</v>
      </c>
      <c r="J34" t="s">
        <v>24</v>
      </c>
      <c r="K34">
        <v>2019</v>
      </c>
      <c r="M34" t="str">
        <v>Government</v>
      </c>
      <c r="N34" t="str">
        <v>France</v>
      </c>
      <c r="O34" t="str">
        <v>Montana</v>
      </c>
      <c r="P34" t="str">
        <v>Low</v>
      </c>
      <c r="Q34">
        <v>1375.5</v>
      </c>
      <c r="R34">
        <v>20</v>
      </c>
      <c r="S34">
        <v>27510</v>
      </c>
      <c r="T34">
        <v>27234.899999999998</v>
      </c>
      <c r="U34">
        <v>13479.899999999998</v>
      </c>
      <c r="V34" t="str">
        <v>Jul</v>
      </c>
      <c r="W34">
        <v>2019</v>
      </c>
    </row>
    <row r="35" spans="1:23" x14ac:dyDescent="0.3">
      <c r="A35" t="s">
        <v>17</v>
      </c>
      <c r="B35" t="s">
        <v>14</v>
      </c>
      <c r="C35" t="s">
        <v>20</v>
      </c>
      <c r="D35" t="s">
        <v>28</v>
      </c>
      <c r="E35" s="1">
        <v>1804</v>
      </c>
      <c r="F35" s="1">
        <v>125</v>
      </c>
      <c r="G35" s="1">
        <v>225500</v>
      </c>
      <c r="H35" s="1">
        <v>225500</v>
      </c>
      <c r="I35" s="1">
        <v>9020</v>
      </c>
      <c r="J35" t="s">
        <v>7</v>
      </c>
      <c r="K35">
        <v>2019</v>
      </c>
      <c r="M35" t="str">
        <v>Government</v>
      </c>
      <c r="N35" t="str">
        <v>Canada</v>
      </c>
      <c r="O35" t="str">
        <v>Montana</v>
      </c>
      <c r="P35" t="str">
        <v>Low</v>
      </c>
      <c r="Q35">
        <v>1830</v>
      </c>
      <c r="R35">
        <v>7</v>
      </c>
      <c r="S35">
        <v>12810</v>
      </c>
      <c r="T35">
        <v>12681.9</v>
      </c>
      <c r="U35">
        <v>3531.8999999999996</v>
      </c>
      <c r="V35" t="str">
        <v>Aug</v>
      </c>
      <c r="W35">
        <v>2019</v>
      </c>
    </row>
    <row r="36" spans="1:23" x14ac:dyDescent="0.3">
      <c r="A36" t="s">
        <v>17</v>
      </c>
      <c r="B36" t="s">
        <v>14</v>
      </c>
      <c r="C36" t="s">
        <v>20</v>
      </c>
      <c r="D36" t="s">
        <v>28</v>
      </c>
      <c r="E36" s="1">
        <v>1804</v>
      </c>
      <c r="F36" s="1">
        <v>125</v>
      </c>
      <c r="G36" s="1">
        <v>225500</v>
      </c>
      <c r="H36" s="1">
        <v>225500</v>
      </c>
      <c r="I36" s="1">
        <v>9020</v>
      </c>
      <c r="J36" t="s">
        <v>7</v>
      </c>
      <c r="K36">
        <v>2019</v>
      </c>
      <c r="M36" t="str">
        <v>Small Business</v>
      </c>
      <c r="N36" t="str">
        <v>Usa</v>
      </c>
      <c r="O36" t="str">
        <v>Montana</v>
      </c>
      <c r="P36" t="str">
        <v>Low</v>
      </c>
      <c r="Q36">
        <v>2498</v>
      </c>
      <c r="R36">
        <v>300</v>
      </c>
      <c r="S36">
        <v>749400</v>
      </c>
      <c r="T36">
        <v>741906</v>
      </c>
      <c r="U36">
        <v>117406</v>
      </c>
      <c r="V36" t="str">
        <v>Sep</v>
      </c>
      <c r="W36">
        <v>2018</v>
      </c>
    </row>
    <row r="37" spans="1:23" x14ac:dyDescent="0.3">
      <c r="A37" t="s">
        <v>3</v>
      </c>
      <c r="B37" t="s">
        <v>41</v>
      </c>
      <c r="C37" t="s">
        <v>20</v>
      </c>
      <c r="D37" t="s">
        <v>28</v>
      </c>
      <c r="E37" s="1">
        <v>2161</v>
      </c>
      <c r="F37" s="1">
        <v>12</v>
      </c>
      <c r="G37" s="1">
        <v>25932</v>
      </c>
      <c r="H37" s="1">
        <v>25932</v>
      </c>
      <c r="I37" s="1">
        <v>19449</v>
      </c>
      <c r="J37" t="s">
        <v>13</v>
      </c>
      <c r="K37">
        <v>2019</v>
      </c>
      <c r="M37" t="str">
        <v>Enterprise</v>
      </c>
      <c r="N37" t="str">
        <v>Usa</v>
      </c>
      <c r="O37" t="str">
        <v>Montana</v>
      </c>
      <c r="P37" t="str">
        <v>Low</v>
      </c>
      <c r="Q37">
        <v>663</v>
      </c>
      <c r="R37">
        <v>125</v>
      </c>
      <c r="S37">
        <v>82875</v>
      </c>
      <c r="T37">
        <v>82046.25</v>
      </c>
      <c r="U37">
        <v>2486.25</v>
      </c>
      <c r="V37" t="str">
        <v>Oct</v>
      </c>
      <c r="W37">
        <v>2018</v>
      </c>
    </row>
    <row r="38" spans="1:23" x14ac:dyDescent="0.3">
      <c r="A38" t="s">
        <v>6</v>
      </c>
      <c r="B38" t="s">
        <v>41</v>
      </c>
      <c r="C38" t="s">
        <v>20</v>
      </c>
      <c r="D38" t="s">
        <v>28</v>
      </c>
      <c r="E38" s="1">
        <v>1006</v>
      </c>
      <c r="F38" s="1">
        <v>350</v>
      </c>
      <c r="G38" s="1">
        <v>352100</v>
      </c>
      <c r="H38" s="1">
        <v>352100</v>
      </c>
      <c r="I38" s="1">
        <v>90540</v>
      </c>
      <c r="J38" t="s">
        <v>25</v>
      </c>
      <c r="K38">
        <v>2019</v>
      </c>
      <c r="M38" t="str">
        <v>Midmarket</v>
      </c>
      <c r="N38" t="str">
        <v>Germany</v>
      </c>
      <c r="O38" t="str">
        <v>Paseo</v>
      </c>
      <c r="P38" t="str">
        <v>Low</v>
      </c>
      <c r="Q38">
        <v>747</v>
      </c>
      <c r="R38">
        <v>15</v>
      </c>
      <c r="S38">
        <v>11205</v>
      </c>
      <c r="T38">
        <v>11092.95</v>
      </c>
      <c r="U38">
        <v>3622.9500000000007</v>
      </c>
      <c r="V38" t="str">
        <v>Sep</v>
      </c>
      <c r="W38">
        <v>2019</v>
      </c>
    </row>
    <row r="39" spans="1:23" x14ac:dyDescent="0.3">
      <c r="A39" t="s">
        <v>3</v>
      </c>
      <c r="B39" t="s">
        <v>41</v>
      </c>
      <c r="C39" t="s">
        <v>20</v>
      </c>
      <c r="D39" t="s">
        <v>28</v>
      </c>
      <c r="E39" s="1">
        <v>1545</v>
      </c>
      <c r="F39" s="1">
        <v>12</v>
      </c>
      <c r="G39" s="1">
        <v>18540</v>
      </c>
      <c r="H39" s="1">
        <v>18540</v>
      </c>
      <c r="I39" s="1">
        <v>13905</v>
      </c>
      <c r="J39" t="s">
        <v>25</v>
      </c>
      <c r="K39">
        <v>2019</v>
      </c>
      <c r="M39" t="str">
        <v>Channel Partners</v>
      </c>
      <c r="N39" t="str">
        <v>Germany</v>
      </c>
      <c r="O39" t="str">
        <v>Paseo</v>
      </c>
      <c r="P39" t="str">
        <v>Low</v>
      </c>
      <c r="Q39">
        <v>766</v>
      </c>
      <c r="R39">
        <v>12</v>
      </c>
      <c r="S39">
        <v>9192</v>
      </c>
      <c r="T39">
        <v>9100.08</v>
      </c>
      <c r="U39">
        <v>6802.08</v>
      </c>
      <c r="V39" t="str">
        <v>Oct</v>
      </c>
      <c r="W39">
        <v>2018</v>
      </c>
    </row>
    <row r="40" spans="1:23" x14ac:dyDescent="0.3">
      <c r="A40" t="s">
        <v>17</v>
      </c>
      <c r="B40" t="s">
        <v>42</v>
      </c>
      <c r="C40" t="s">
        <v>20</v>
      </c>
      <c r="D40" t="s">
        <v>28</v>
      </c>
      <c r="E40" s="1">
        <v>2821</v>
      </c>
      <c r="F40" s="1">
        <v>125</v>
      </c>
      <c r="G40" s="1">
        <v>352625</v>
      </c>
      <c r="H40" s="1">
        <v>352625</v>
      </c>
      <c r="I40" s="1">
        <v>14105</v>
      </c>
      <c r="J40" t="s">
        <v>22</v>
      </c>
      <c r="K40">
        <v>2019</v>
      </c>
      <c r="M40" t="str">
        <v>Government</v>
      </c>
      <c r="N40" t="str">
        <v>Germany</v>
      </c>
      <c r="O40" t="str">
        <v>VTT</v>
      </c>
      <c r="P40" t="str">
        <v>Low</v>
      </c>
      <c r="Q40">
        <v>263</v>
      </c>
      <c r="R40">
        <v>7</v>
      </c>
      <c r="S40">
        <v>1841</v>
      </c>
      <c r="T40">
        <v>1822.59</v>
      </c>
      <c r="U40">
        <v>507.58999999999992</v>
      </c>
      <c r="V40" t="str">
        <v>Mar</v>
      </c>
      <c r="W40">
        <v>2019</v>
      </c>
    </row>
    <row r="41" spans="1:23" x14ac:dyDescent="0.3">
      <c r="A41" t="s">
        <v>17</v>
      </c>
      <c r="B41" t="s">
        <v>40</v>
      </c>
      <c r="C41" t="s">
        <v>20</v>
      </c>
      <c r="D41" t="s">
        <v>28</v>
      </c>
      <c r="E41" s="1">
        <v>345</v>
      </c>
      <c r="F41" s="1">
        <v>125</v>
      </c>
      <c r="G41" s="1">
        <v>43125</v>
      </c>
      <c r="H41" s="1">
        <v>43125</v>
      </c>
      <c r="I41" s="1">
        <v>1725</v>
      </c>
      <c r="J41" t="s">
        <v>10</v>
      </c>
      <c r="K41">
        <v>2018</v>
      </c>
      <c r="M41" t="str">
        <v>Small Business</v>
      </c>
      <c r="N41" t="str">
        <v>Germany</v>
      </c>
      <c r="O41" t="str">
        <v>VTT</v>
      </c>
      <c r="P41" t="str">
        <v>Low</v>
      </c>
      <c r="Q41">
        <v>986</v>
      </c>
      <c r="R41">
        <v>300</v>
      </c>
      <c r="S41">
        <v>295800</v>
      </c>
      <c r="T41">
        <v>292842</v>
      </c>
      <c r="U41">
        <v>46342</v>
      </c>
      <c r="V41" t="str">
        <v>Sep</v>
      </c>
      <c r="W41">
        <v>2019</v>
      </c>
    </row>
    <row r="42" spans="1:23" x14ac:dyDescent="0.3">
      <c r="A42" t="s">
        <v>12</v>
      </c>
      <c r="B42" t="s">
        <v>40</v>
      </c>
      <c r="C42" t="s">
        <v>2</v>
      </c>
      <c r="D42" t="s">
        <v>28</v>
      </c>
      <c r="E42" s="1">
        <v>2001</v>
      </c>
      <c r="F42" s="1">
        <v>300</v>
      </c>
      <c r="G42" s="1">
        <v>600300</v>
      </c>
      <c r="H42" s="1">
        <v>600300</v>
      </c>
      <c r="I42" s="1">
        <v>100050</v>
      </c>
      <c r="J42" t="s">
        <v>7</v>
      </c>
      <c r="K42">
        <v>2019</v>
      </c>
      <c r="M42" t="str">
        <v>Small Business</v>
      </c>
      <c r="N42" t="str">
        <v>Germany</v>
      </c>
      <c r="O42" t="str">
        <v>Carretera</v>
      </c>
      <c r="P42" t="str">
        <v>Low</v>
      </c>
      <c r="Q42">
        <v>214</v>
      </c>
      <c r="R42">
        <v>300</v>
      </c>
      <c r="S42">
        <v>64200</v>
      </c>
      <c r="T42">
        <v>62916</v>
      </c>
      <c r="U42">
        <v>9416</v>
      </c>
      <c r="V42" t="str">
        <v>Oct</v>
      </c>
      <c r="W42">
        <v>2018</v>
      </c>
    </row>
    <row r="43" spans="1:23" x14ac:dyDescent="0.3">
      <c r="A43" t="s">
        <v>12</v>
      </c>
      <c r="B43" t="s">
        <v>40</v>
      </c>
      <c r="C43" t="s">
        <v>2</v>
      </c>
      <c r="D43" t="s">
        <v>28</v>
      </c>
      <c r="E43" s="1">
        <v>2001</v>
      </c>
      <c r="F43" s="1">
        <v>300</v>
      </c>
      <c r="G43" s="1">
        <v>600300</v>
      </c>
      <c r="H43" s="1">
        <v>600300</v>
      </c>
      <c r="I43" s="1">
        <v>100050</v>
      </c>
      <c r="J43" t="s">
        <v>7</v>
      </c>
      <c r="K43">
        <v>2019</v>
      </c>
      <c r="M43" t="str">
        <v>Channel Partners</v>
      </c>
      <c r="N43" t="str">
        <v>Usa</v>
      </c>
      <c r="O43" t="str">
        <v>Montana</v>
      </c>
      <c r="P43" t="str">
        <v>Low</v>
      </c>
      <c r="Q43">
        <v>1142</v>
      </c>
      <c r="R43">
        <v>12</v>
      </c>
      <c r="S43">
        <v>13704</v>
      </c>
      <c r="T43">
        <v>13429.92</v>
      </c>
      <c r="U43">
        <v>10003.92</v>
      </c>
      <c r="V43" t="str">
        <v>Jun</v>
      </c>
      <c r="W43">
        <v>2019</v>
      </c>
    </row>
    <row r="44" spans="1:23" x14ac:dyDescent="0.3">
      <c r="A44" t="s">
        <v>3</v>
      </c>
      <c r="B44" t="s">
        <v>41</v>
      </c>
      <c r="C44" t="s">
        <v>2</v>
      </c>
      <c r="D44" t="s">
        <v>28</v>
      </c>
      <c r="E44" s="1">
        <v>2838</v>
      </c>
      <c r="F44" s="1">
        <v>12</v>
      </c>
      <c r="G44" s="1">
        <v>34056</v>
      </c>
      <c r="H44" s="1">
        <v>34056</v>
      </c>
      <c r="I44" s="1">
        <v>25542</v>
      </c>
      <c r="J44" t="s">
        <v>4</v>
      </c>
      <c r="K44">
        <v>2019</v>
      </c>
      <c r="M44" t="str">
        <v>Government</v>
      </c>
      <c r="N44" t="str">
        <v>Usa</v>
      </c>
      <c r="O44" t="str">
        <v>Montana</v>
      </c>
      <c r="P44" t="str">
        <v>Low</v>
      </c>
      <c r="Q44">
        <v>1566</v>
      </c>
      <c r="R44">
        <v>20</v>
      </c>
      <c r="S44">
        <v>31320</v>
      </c>
      <c r="T44">
        <v>30693.599999999999</v>
      </c>
      <c r="U44">
        <v>15033.599999999999</v>
      </c>
      <c r="V44" t="str">
        <v>Oct</v>
      </c>
      <c r="W44">
        <v>2019</v>
      </c>
    </row>
    <row r="45" spans="1:23" x14ac:dyDescent="0.3">
      <c r="A45" t="s">
        <v>18</v>
      </c>
      <c r="B45" t="s">
        <v>14</v>
      </c>
      <c r="C45" t="s">
        <v>2</v>
      </c>
      <c r="D45" t="s">
        <v>28</v>
      </c>
      <c r="E45" s="1">
        <v>2178</v>
      </c>
      <c r="F45" s="1">
        <v>15</v>
      </c>
      <c r="G45" s="1">
        <v>32670</v>
      </c>
      <c r="H45" s="1">
        <v>32670</v>
      </c>
      <c r="I45" s="1">
        <v>10890</v>
      </c>
      <c r="J45" t="s">
        <v>25</v>
      </c>
      <c r="K45">
        <v>2019</v>
      </c>
      <c r="M45" t="str">
        <v>Channel Partners</v>
      </c>
      <c r="N45" t="str">
        <v>Mexico</v>
      </c>
      <c r="O45" t="str">
        <v>Montana</v>
      </c>
      <c r="P45" t="str">
        <v>Low</v>
      </c>
      <c r="Q45">
        <v>690</v>
      </c>
      <c r="R45">
        <v>12</v>
      </c>
      <c r="S45">
        <v>8280</v>
      </c>
      <c r="T45">
        <v>8114.4</v>
      </c>
      <c r="U45">
        <v>6044.4</v>
      </c>
      <c r="V45" t="str">
        <v>Nov</v>
      </c>
      <c r="W45">
        <v>2019</v>
      </c>
    </row>
    <row r="46" spans="1:23" x14ac:dyDescent="0.3">
      <c r="A46" t="s">
        <v>18</v>
      </c>
      <c r="B46" t="s">
        <v>41</v>
      </c>
      <c r="C46" t="s">
        <v>2</v>
      </c>
      <c r="D46" t="s">
        <v>28</v>
      </c>
      <c r="E46" s="1">
        <v>888</v>
      </c>
      <c r="F46" s="1">
        <v>15</v>
      </c>
      <c r="G46" s="1">
        <v>13320</v>
      </c>
      <c r="H46" s="1">
        <v>13320</v>
      </c>
      <c r="I46" s="1">
        <v>4440</v>
      </c>
      <c r="J46" t="s">
        <v>25</v>
      </c>
      <c r="K46">
        <v>2019</v>
      </c>
      <c r="M46" t="str">
        <v>Enterprise</v>
      </c>
      <c r="N46" t="str">
        <v>Mexico</v>
      </c>
      <c r="O46" t="str">
        <v>Montana</v>
      </c>
      <c r="P46" t="str">
        <v>Low</v>
      </c>
      <c r="Q46">
        <v>1660</v>
      </c>
      <c r="R46">
        <v>125</v>
      </c>
      <c r="S46">
        <v>207500</v>
      </c>
      <c r="T46">
        <v>203350</v>
      </c>
      <c r="U46">
        <v>4150</v>
      </c>
      <c r="V46" t="str">
        <v>Nov</v>
      </c>
      <c r="W46">
        <v>2018</v>
      </c>
    </row>
    <row r="47" spans="1:23" x14ac:dyDescent="0.3">
      <c r="A47" t="s">
        <v>6</v>
      </c>
      <c r="B47" t="s">
        <v>14</v>
      </c>
      <c r="C47" t="s">
        <v>2</v>
      </c>
      <c r="D47" t="s">
        <v>28</v>
      </c>
      <c r="E47" s="1">
        <v>1527</v>
      </c>
      <c r="F47" s="1">
        <v>350</v>
      </c>
      <c r="G47" s="1">
        <v>534450</v>
      </c>
      <c r="H47" s="1">
        <v>534450</v>
      </c>
      <c r="I47" s="1">
        <v>137430</v>
      </c>
      <c r="J47" t="s">
        <v>21</v>
      </c>
      <c r="K47">
        <v>2018</v>
      </c>
      <c r="M47" t="str">
        <v>Small Business</v>
      </c>
      <c r="N47" t="str">
        <v>Germany</v>
      </c>
      <c r="O47" t="str">
        <v>Paseo</v>
      </c>
      <c r="P47" t="str">
        <v>Low</v>
      </c>
      <c r="Q47">
        <v>1728</v>
      </c>
      <c r="R47">
        <v>300</v>
      </c>
      <c r="S47">
        <v>518400</v>
      </c>
      <c r="T47">
        <v>508032</v>
      </c>
      <c r="U47">
        <v>76032</v>
      </c>
      <c r="V47" t="str">
        <v>May</v>
      </c>
      <c r="W47">
        <v>2019</v>
      </c>
    </row>
    <row r="48" spans="1:23" x14ac:dyDescent="0.3">
      <c r="A48" t="s">
        <v>12</v>
      </c>
      <c r="B48" t="s">
        <v>14</v>
      </c>
      <c r="C48" t="s">
        <v>2</v>
      </c>
      <c r="D48" t="s">
        <v>28</v>
      </c>
      <c r="E48" s="1">
        <v>2151</v>
      </c>
      <c r="F48" s="1">
        <v>300</v>
      </c>
      <c r="G48" s="1">
        <v>645300</v>
      </c>
      <c r="H48" s="1">
        <v>645300</v>
      </c>
      <c r="I48" s="1">
        <v>107550</v>
      </c>
      <c r="J48" t="s">
        <v>21</v>
      </c>
      <c r="K48">
        <v>2019</v>
      </c>
      <c r="M48" t="str">
        <v>Enterprise</v>
      </c>
      <c r="N48" t="str">
        <v>Germany</v>
      </c>
      <c r="O48" t="str">
        <v>Paseo</v>
      </c>
      <c r="P48" t="str">
        <v>Low</v>
      </c>
      <c r="Q48">
        <v>809</v>
      </c>
      <c r="R48">
        <v>125</v>
      </c>
      <c r="S48">
        <v>101125</v>
      </c>
      <c r="T48">
        <v>99102.5</v>
      </c>
      <c r="U48">
        <v>2022.5</v>
      </c>
      <c r="V48" t="str">
        <v>Oct</v>
      </c>
      <c r="W48">
        <v>2018</v>
      </c>
    </row>
    <row r="49" spans="1:23" x14ac:dyDescent="0.3">
      <c r="A49" t="s">
        <v>6</v>
      </c>
      <c r="B49" t="s">
        <v>40</v>
      </c>
      <c r="C49" t="s">
        <v>2</v>
      </c>
      <c r="D49" t="s">
        <v>28</v>
      </c>
      <c r="E49" s="1">
        <v>1817</v>
      </c>
      <c r="F49" s="1">
        <v>20</v>
      </c>
      <c r="G49" s="1">
        <v>36340</v>
      </c>
      <c r="H49" s="1">
        <v>36340</v>
      </c>
      <c r="I49" s="1">
        <v>18170</v>
      </c>
      <c r="J49" t="s">
        <v>15</v>
      </c>
      <c r="K49">
        <v>2019</v>
      </c>
      <c r="M49" t="str">
        <v>Government</v>
      </c>
      <c r="N49" t="str">
        <v>Germany</v>
      </c>
      <c r="O49" t="str">
        <v>Velo</v>
      </c>
      <c r="P49" t="str">
        <v>Low</v>
      </c>
      <c r="Q49">
        <v>2966</v>
      </c>
      <c r="R49">
        <v>350</v>
      </c>
      <c r="S49">
        <v>1038100</v>
      </c>
      <c r="T49">
        <v>1017338</v>
      </c>
      <c r="U49">
        <v>246178</v>
      </c>
      <c r="V49" t="str">
        <v>Oct</v>
      </c>
      <c r="W49">
        <v>2018</v>
      </c>
    </row>
    <row r="50" spans="1:23" x14ac:dyDescent="0.3">
      <c r="A50" t="s">
        <v>6</v>
      </c>
      <c r="B50" t="s">
        <v>14</v>
      </c>
      <c r="C50" t="s">
        <v>11</v>
      </c>
      <c r="D50" t="s">
        <v>28</v>
      </c>
      <c r="E50" s="1">
        <v>2750</v>
      </c>
      <c r="F50" s="1">
        <v>350</v>
      </c>
      <c r="G50" s="1">
        <v>962500</v>
      </c>
      <c r="H50" s="1">
        <v>962500</v>
      </c>
      <c r="I50" s="1">
        <v>247500</v>
      </c>
      <c r="J50" t="s">
        <v>7</v>
      </c>
      <c r="K50">
        <v>2019</v>
      </c>
      <c r="M50" t="str">
        <v>Government</v>
      </c>
      <c r="N50" t="str">
        <v>Germany</v>
      </c>
      <c r="O50" t="str">
        <v>Velo</v>
      </c>
      <c r="P50" t="str">
        <v>Low</v>
      </c>
      <c r="Q50">
        <v>2877</v>
      </c>
      <c r="R50">
        <v>350</v>
      </c>
      <c r="S50">
        <v>1006950</v>
      </c>
      <c r="T50">
        <v>986811</v>
      </c>
      <c r="U50">
        <v>238791</v>
      </c>
      <c r="V50" t="str">
        <v>Oct</v>
      </c>
      <c r="W50">
        <v>2019</v>
      </c>
    </row>
    <row r="51" spans="1:23" x14ac:dyDescent="0.3">
      <c r="A51" t="s">
        <v>3</v>
      </c>
      <c r="B51" t="s">
        <v>42</v>
      </c>
      <c r="C51" t="s">
        <v>11</v>
      </c>
      <c r="D51" t="s">
        <v>28</v>
      </c>
      <c r="E51" s="1">
        <v>1953</v>
      </c>
      <c r="F51" s="1">
        <v>12</v>
      </c>
      <c r="G51" s="1">
        <v>23436</v>
      </c>
      <c r="H51" s="1">
        <v>23436</v>
      </c>
      <c r="I51" s="1">
        <v>17577</v>
      </c>
      <c r="J51" t="s">
        <v>4</v>
      </c>
      <c r="K51">
        <v>2019</v>
      </c>
      <c r="M51" t="str">
        <v>Enterprise</v>
      </c>
      <c r="N51" t="str">
        <v>Germany</v>
      </c>
      <c r="O51" t="str">
        <v>Velo</v>
      </c>
      <c r="P51" t="str">
        <v>Low</v>
      </c>
      <c r="Q51">
        <v>809</v>
      </c>
      <c r="R51">
        <v>125</v>
      </c>
      <c r="S51">
        <v>101125</v>
      </c>
      <c r="T51">
        <v>99102.5</v>
      </c>
      <c r="U51">
        <v>2022.5</v>
      </c>
      <c r="V51" t="str">
        <v>Oct</v>
      </c>
      <c r="W51">
        <v>2018</v>
      </c>
    </row>
    <row r="52" spans="1:23" x14ac:dyDescent="0.3">
      <c r="A52" t="s">
        <v>17</v>
      </c>
      <c r="B52" t="s">
        <v>41</v>
      </c>
      <c r="C52" t="s">
        <v>11</v>
      </c>
      <c r="D52" t="s">
        <v>28</v>
      </c>
      <c r="E52" s="1">
        <v>4219.5</v>
      </c>
      <c r="F52" s="1">
        <v>125</v>
      </c>
      <c r="G52" s="1">
        <v>527437.5</v>
      </c>
      <c r="H52" s="1">
        <v>527437.5</v>
      </c>
      <c r="I52" s="1">
        <v>21097.5</v>
      </c>
      <c r="J52" t="s">
        <v>4</v>
      </c>
      <c r="K52">
        <v>2019</v>
      </c>
      <c r="M52" t="str">
        <v>Small Business</v>
      </c>
      <c r="N52" t="str">
        <v>Germany</v>
      </c>
      <c r="O52" t="str">
        <v>VTT</v>
      </c>
      <c r="P52" t="str">
        <v>Low</v>
      </c>
      <c r="Q52">
        <v>214</v>
      </c>
      <c r="R52">
        <v>300</v>
      </c>
      <c r="S52">
        <v>64200</v>
      </c>
      <c r="T52">
        <v>62916</v>
      </c>
      <c r="U52">
        <v>9416</v>
      </c>
      <c r="V52" t="str">
        <v>Oct</v>
      </c>
      <c r="W52">
        <v>2018</v>
      </c>
    </row>
    <row r="53" spans="1:23" x14ac:dyDescent="0.3">
      <c r="A53" t="s">
        <v>6</v>
      </c>
      <c r="B53" t="s">
        <v>14</v>
      </c>
      <c r="C53" t="s">
        <v>11</v>
      </c>
      <c r="D53" t="s">
        <v>28</v>
      </c>
      <c r="E53" s="1">
        <v>1899</v>
      </c>
      <c r="F53" s="1">
        <v>20</v>
      </c>
      <c r="G53" s="1">
        <v>37980</v>
      </c>
      <c r="H53" s="1">
        <v>37980</v>
      </c>
      <c r="I53" s="1">
        <v>18990</v>
      </c>
      <c r="J53" t="s">
        <v>25</v>
      </c>
      <c r="K53">
        <v>2019</v>
      </c>
      <c r="M53" t="str">
        <v>Government</v>
      </c>
      <c r="N53" t="str">
        <v>Germany</v>
      </c>
      <c r="O53" t="str">
        <v>VTT</v>
      </c>
      <c r="P53" t="str">
        <v>Low</v>
      </c>
      <c r="Q53">
        <v>2877</v>
      </c>
      <c r="R53">
        <v>350</v>
      </c>
      <c r="S53">
        <v>1006950</v>
      </c>
      <c r="T53">
        <v>986811</v>
      </c>
      <c r="U53">
        <v>238791</v>
      </c>
      <c r="V53" t="str">
        <v>Oct</v>
      </c>
      <c r="W53">
        <v>2019</v>
      </c>
    </row>
    <row r="54" spans="1:23" x14ac:dyDescent="0.3">
      <c r="A54" t="s">
        <v>6</v>
      </c>
      <c r="B54" t="s">
        <v>41</v>
      </c>
      <c r="C54" t="s">
        <v>11</v>
      </c>
      <c r="D54" t="s">
        <v>28</v>
      </c>
      <c r="E54" s="1">
        <v>1686</v>
      </c>
      <c r="F54" s="1">
        <v>7</v>
      </c>
      <c r="G54" s="1">
        <v>11802</v>
      </c>
      <c r="H54" s="1">
        <v>11802</v>
      </c>
      <c r="I54" s="1">
        <v>3372</v>
      </c>
      <c r="J54" t="s">
        <v>19</v>
      </c>
      <c r="K54">
        <v>2019</v>
      </c>
      <c r="M54" t="str">
        <v>Small Business</v>
      </c>
      <c r="N54" t="str">
        <v>Germany</v>
      </c>
      <c r="O54" t="str">
        <v>Amarilla</v>
      </c>
      <c r="P54" t="str">
        <v>Low</v>
      </c>
      <c r="Q54">
        <v>259</v>
      </c>
      <c r="R54">
        <v>300</v>
      </c>
      <c r="S54">
        <v>77700</v>
      </c>
      <c r="T54">
        <v>76146</v>
      </c>
      <c r="U54">
        <v>11396</v>
      </c>
      <c r="V54" t="str">
        <v>Mar</v>
      </c>
      <c r="W54">
        <v>2019</v>
      </c>
    </row>
    <row r="55" spans="1:23" x14ac:dyDescent="0.3">
      <c r="A55" t="s">
        <v>3</v>
      </c>
      <c r="B55" t="s">
        <v>42</v>
      </c>
      <c r="C55" t="s">
        <v>11</v>
      </c>
      <c r="D55" t="s">
        <v>28</v>
      </c>
      <c r="E55" s="1">
        <v>2141</v>
      </c>
      <c r="F55" s="1">
        <v>12</v>
      </c>
      <c r="G55" s="1">
        <v>25692</v>
      </c>
      <c r="H55" s="1">
        <v>25692</v>
      </c>
      <c r="I55" s="1">
        <v>19269</v>
      </c>
      <c r="J55" t="s">
        <v>22</v>
      </c>
      <c r="K55">
        <v>2019</v>
      </c>
      <c r="M55" t="str">
        <v>Enterprise</v>
      </c>
      <c r="N55" t="str">
        <v>Germany</v>
      </c>
      <c r="O55" t="str">
        <v>Amarilla</v>
      </c>
      <c r="P55" t="str">
        <v>Low</v>
      </c>
      <c r="Q55">
        <v>2276</v>
      </c>
      <c r="R55">
        <v>125</v>
      </c>
      <c r="S55">
        <v>284500</v>
      </c>
      <c r="T55">
        <v>278810</v>
      </c>
      <c r="U55">
        <v>5690</v>
      </c>
      <c r="V55" t="str">
        <v>May</v>
      </c>
      <c r="W55">
        <v>2019</v>
      </c>
    </row>
    <row r="56" spans="1:23" x14ac:dyDescent="0.3">
      <c r="A56" t="s">
        <v>6</v>
      </c>
      <c r="B56" t="s">
        <v>42</v>
      </c>
      <c r="C56" t="s">
        <v>11</v>
      </c>
      <c r="D56" t="s">
        <v>28</v>
      </c>
      <c r="E56" s="1">
        <v>1143</v>
      </c>
      <c r="F56" s="1">
        <v>7</v>
      </c>
      <c r="G56" s="1">
        <v>8001</v>
      </c>
      <c r="H56" s="1">
        <v>8001</v>
      </c>
      <c r="I56" s="1">
        <v>2286</v>
      </c>
      <c r="J56" t="s">
        <v>10</v>
      </c>
      <c r="K56">
        <v>2019</v>
      </c>
      <c r="M56" t="str">
        <v>Government</v>
      </c>
      <c r="N56" t="str">
        <v>Germany</v>
      </c>
      <c r="O56" t="str">
        <v>Amarilla</v>
      </c>
      <c r="P56" t="str">
        <v>Low</v>
      </c>
      <c r="Q56">
        <v>2966</v>
      </c>
      <c r="R56">
        <v>350</v>
      </c>
      <c r="S56">
        <v>1038100</v>
      </c>
      <c r="T56">
        <v>1017338</v>
      </c>
      <c r="U56">
        <v>246178</v>
      </c>
      <c r="V56" t="str">
        <v>Oct</v>
      </c>
      <c r="W56">
        <v>2018</v>
      </c>
    </row>
    <row r="57" spans="1:23" x14ac:dyDescent="0.3">
      <c r="A57" t="s">
        <v>18</v>
      </c>
      <c r="B57" t="s">
        <v>42</v>
      </c>
      <c r="C57" t="s">
        <v>11</v>
      </c>
      <c r="D57" t="s">
        <v>28</v>
      </c>
      <c r="E57" s="1">
        <v>615</v>
      </c>
      <c r="F57" s="1">
        <v>15</v>
      </c>
      <c r="G57" s="1">
        <v>9225</v>
      </c>
      <c r="H57" s="1">
        <v>9225</v>
      </c>
      <c r="I57" s="1">
        <v>3075</v>
      </c>
      <c r="J57" t="s">
        <v>15</v>
      </c>
      <c r="K57">
        <v>2019</v>
      </c>
      <c r="M57" t="str">
        <v>Government</v>
      </c>
      <c r="N57" t="str">
        <v>Germany</v>
      </c>
      <c r="O57" t="str">
        <v>Carretera</v>
      </c>
      <c r="P57" t="str">
        <v>Low</v>
      </c>
      <c r="Q57">
        <v>2580</v>
      </c>
      <c r="R57">
        <v>20</v>
      </c>
      <c r="S57">
        <v>51600</v>
      </c>
      <c r="T57">
        <v>50052</v>
      </c>
      <c r="U57">
        <v>24252</v>
      </c>
      <c r="V57" t="str">
        <v>Apr</v>
      </c>
      <c r="W57">
        <v>2019</v>
      </c>
    </row>
    <row r="58" spans="1:23" x14ac:dyDescent="0.3">
      <c r="A58" t="s">
        <v>6</v>
      </c>
      <c r="B58" t="s">
        <v>14</v>
      </c>
      <c r="C58" t="s">
        <v>5</v>
      </c>
      <c r="D58" t="s">
        <v>27</v>
      </c>
      <c r="E58" s="1">
        <v>3945</v>
      </c>
      <c r="F58" s="1">
        <v>7</v>
      </c>
      <c r="G58" s="1">
        <v>27615</v>
      </c>
      <c r="H58" s="1">
        <v>27338.850000000002</v>
      </c>
      <c r="I58" s="1">
        <v>7613.8500000000022</v>
      </c>
      <c r="J58" t="s">
        <v>24</v>
      </c>
      <c r="K58">
        <v>2019</v>
      </c>
      <c r="M58" t="str">
        <v>Small Business</v>
      </c>
      <c r="N58" t="str">
        <v>Germany</v>
      </c>
      <c r="O58" t="str">
        <v>Carretera</v>
      </c>
      <c r="P58" t="str">
        <v>Low</v>
      </c>
      <c r="Q58">
        <v>689</v>
      </c>
      <c r="R58">
        <v>300</v>
      </c>
      <c r="S58">
        <v>206700</v>
      </c>
      <c r="T58">
        <v>200499</v>
      </c>
      <c r="U58">
        <v>28249</v>
      </c>
      <c r="V58" t="str">
        <v>Jun</v>
      </c>
      <c r="W58">
        <v>2019</v>
      </c>
    </row>
    <row r="59" spans="1:23" x14ac:dyDescent="0.3">
      <c r="A59" t="s">
        <v>18</v>
      </c>
      <c r="B59" t="s">
        <v>14</v>
      </c>
      <c r="C59" t="s">
        <v>5</v>
      </c>
      <c r="D59" t="s">
        <v>27</v>
      </c>
      <c r="E59" s="1">
        <v>2296</v>
      </c>
      <c r="F59" s="1">
        <v>15</v>
      </c>
      <c r="G59" s="1">
        <v>34440</v>
      </c>
      <c r="H59" s="1">
        <v>34095.599999999999</v>
      </c>
      <c r="I59" s="1">
        <v>11135.599999999999</v>
      </c>
      <c r="J59" t="s">
        <v>7</v>
      </c>
      <c r="K59">
        <v>2019</v>
      </c>
      <c r="M59" t="str">
        <v>Government</v>
      </c>
      <c r="N59" t="str">
        <v>Germany</v>
      </c>
      <c r="O59" t="str">
        <v>Montana</v>
      </c>
      <c r="P59" t="str">
        <v>Low</v>
      </c>
      <c r="Q59">
        <v>1958</v>
      </c>
      <c r="R59">
        <v>7</v>
      </c>
      <c r="S59">
        <v>13706</v>
      </c>
      <c r="T59">
        <v>13294.82</v>
      </c>
      <c r="U59">
        <v>3504.8199999999997</v>
      </c>
      <c r="V59" t="str">
        <v>Feb</v>
      </c>
      <c r="W59">
        <v>2019</v>
      </c>
    </row>
    <row r="60" spans="1:23" x14ac:dyDescent="0.3">
      <c r="A60" t="s">
        <v>6</v>
      </c>
      <c r="B60" t="s">
        <v>14</v>
      </c>
      <c r="C60" t="s">
        <v>5</v>
      </c>
      <c r="D60" t="s">
        <v>27</v>
      </c>
      <c r="E60" s="1">
        <v>1030</v>
      </c>
      <c r="F60" s="1">
        <v>7</v>
      </c>
      <c r="G60" s="1">
        <v>7210</v>
      </c>
      <c r="H60" s="1">
        <v>7137.9</v>
      </c>
      <c r="I60" s="1">
        <v>1987.8999999999996</v>
      </c>
      <c r="J60" t="s">
        <v>0</v>
      </c>
      <c r="K60">
        <v>2019</v>
      </c>
      <c r="M60" t="str">
        <v>Channel Partners</v>
      </c>
      <c r="N60" t="str">
        <v>France</v>
      </c>
      <c r="O60" t="str">
        <v>Montana</v>
      </c>
      <c r="P60" t="str">
        <v>Low</v>
      </c>
      <c r="Q60">
        <v>1901</v>
      </c>
      <c r="R60">
        <v>12</v>
      </c>
      <c r="S60">
        <v>22812</v>
      </c>
      <c r="T60">
        <v>22127.64</v>
      </c>
      <c r="U60">
        <v>16424.64</v>
      </c>
      <c r="V60" t="str">
        <v>Jun</v>
      </c>
      <c r="W60">
        <v>2019</v>
      </c>
    </row>
    <row r="61" spans="1:23" x14ac:dyDescent="0.3">
      <c r="A61" t="s">
        <v>6</v>
      </c>
      <c r="B61" t="s">
        <v>14</v>
      </c>
      <c r="C61" t="s">
        <v>20</v>
      </c>
      <c r="D61" t="s">
        <v>27</v>
      </c>
      <c r="E61" s="1">
        <v>639</v>
      </c>
      <c r="F61" s="1">
        <v>7</v>
      </c>
      <c r="G61" s="1">
        <v>4473</v>
      </c>
      <c r="H61" s="1">
        <v>4428.2700000000004</v>
      </c>
      <c r="I61" s="1">
        <v>1233.2700000000004</v>
      </c>
      <c r="J61" t="s">
        <v>16</v>
      </c>
      <c r="K61">
        <v>2019</v>
      </c>
      <c r="M61" t="str">
        <v>Government</v>
      </c>
      <c r="N61" t="str">
        <v>France</v>
      </c>
      <c r="O61" t="str">
        <v>Montana</v>
      </c>
      <c r="P61" t="str">
        <v>Low</v>
      </c>
      <c r="Q61">
        <v>544</v>
      </c>
      <c r="R61">
        <v>7</v>
      </c>
      <c r="S61">
        <v>3808</v>
      </c>
      <c r="T61">
        <v>3693.76</v>
      </c>
      <c r="U61">
        <v>973.76000000000022</v>
      </c>
      <c r="V61" t="str">
        <v>Sep</v>
      </c>
      <c r="W61">
        <v>2019</v>
      </c>
    </row>
    <row r="62" spans="1:23" x14ac:dyDescent="0.3">
      <c r="A62" t="s">
        <v>6</v>
      </c>
      <c r="B62" t="s">
        <v>40</v>
      </c>
      <c r="C62" t="s">
        <v>2</v>
      </c>
      <c r="D62" t="s">
        <v>27</v>
      </c>
      <c r="E62" s="1">
        <v>1326</v>
      </c>
      <c r="F62" s="1">
        <v>7</v>
      </c>
      <c r="G62" s="1">
        <v>9282</v>
      </c>
      <c r="H62" s="1">
        <v>9189.18</v>
      </c>
      <c r="I62" s="1">
        <v>2559.1800000000003</v>
      </c>
      <c r="J62" t="s">
        <v>13</v>
      </c>
      <c r="K62">
        <v>2019</v>
      </c>
      <c r="M62" t="str">
        <v>Government</v>
      </c>
      <c r="N62" t="str">
        <v>Germany</v>
      </c>
      <c r="O62" t="str">
        <v>Montana</v>
      </c>
      <c r="P62" t="str">
        <v>Low</v>
      </c>
      <c r="Q62">
        <v>1797</v>
      </c>
      <c r="R62">
        <v>350</v>
      </c>
      <c r="S62">
        <v>628950</v>
      </c>
      <c r="T62">
        <v>610081.5</v>
      </c>
      <c r="U62">
        <v>142861.5</v>
      </c>
      <c r="V62" t="str">
        <v>Sep</v>
      </c>
      <c r="W62">
        <v>2018</v>
      </c>
    </row>
    <row r="63" spans="1:23" x14ac:dyDescent="0.3">
      <c r="A63" t="s">
        <v>3</v>
      </c>
      <c r="B63" t="s">
        <v>42</v>
      </c>
      <c r="C63" t="s">
        <v>23</v>
      </c>
      <c r="D63" t="s">
        <v>27</v>
      </c>
      <c r="E63" s="1">
        <v>1858</v>
      </c>
      <c r="F63" s="1">
        <v>12</v>
      </c>
      <c r="G63" s="1">
        <v>22296</v>
      </c>
      <c r="H63" s="1">
        <v>22073.040000000001</v>
      </c>
      <c r="I63" s="1">
        <v>16499.04</v>
      </c>
      <c r="J63" t="s">
        <v>7</v>
      </c>
      <c r="K63">
        <v>2019</v>
      </c>
      <c r="M63" t="str">
        <v>Enterprise</v>
      </c>
      <c r="N63" t="str">
        <v>France</v>
      </c>
      <c r="O63" t="str">
        <v>Montana</v>
      </c>
      <c r="P63" t="str">
        <v>Low</v>
      </c>
      <c r="Q63">
        <v>1287</v>
      </c>
      <c r="R63">
        <v>125</v>
      </c>
      <c r="S63">
        <v>160875</v>
      </c>
      <c r="T63">
        <v>156048.75</v>
      </c>
      <c r="U63">
        <v>1608.75</v>
      </c>
      <c r="V63" t="str">
        <v>Dec</v>
      </c>
      <c r="W63">
        <v>2019</v>
      </c>
    </row>
    <row r="64" spans="1:23" x14ac:dyDescent="0.3">
      <c r="A64" t="s">
        <v>6</v>
      </c>
      <c r="B64" t="s">
        <v>9</v>
      </c>
      <c r="C64" t="s">
        <v>23</v>
      </c>
      <c r="D64" t="s">
        <v>27</v>
      </c>
      <c r="E64" s="1">
        <v>1210</v>
      </c>
      <c r="F64" s="1">
        <v>350</v>
      </c>
      <c r="G64" s="1">
        <v>423500</v>
      </c>
      <c r="H64" s="1">
        <v>419265</v>
      </c>
      <c r="I64" s="1">
        <v>104665</v>
      </c>
      <c r="J64" t="s">
        <v>13</v>
      </c>
      <c r="K64">
        <v>2019</v>
      </c>
      <c r="M64" t="str">
        <v>Enterprise</v>
      </c>
      <c r="N64" t="str">
        <v>Germany</v>
      </c>
      <c r="O64" t="str">
        <v>Montana</v>
      </c>
      <c r="P64" t="str">
        <v>Low</v>
      </c>
      <c r="Q64">
        <v>1706</v>
      </c>
      <c r="R64">
        <v>125</v>
      </c>
      <c r="S64">
        <v>213250</v>
      </c>
      <c r="T64">
        <v>206852.5</v>
      </c>
      <c r="U64">
        <v>2132.5</v>
      </c>
      <c r="V64" t="str">
        <v>Dec</v>
      </c>
      <c r="W64">
        <v>2019</v>
      </c>
    </row>
    <row r="65" spans="1:23" x14ac:dyDescent="0.3">
      <c r="A65" t="s">
        <v>6</v>
      </c>
      <c r="B65" t="s">
        <v>42</v>
      </c>
      <c r="C65" t="s">
        <v>23</v>
      </c>
      <c r="D65" t="s">
        <v>27</v>
      </c>
      <c r="E65" s="1">
        <v>2529</v>
      </c>
      <c r="F65" s="1">
        <v>7</v>
      </c>
      <c r="G65" s="1">
        <v>17703</v>
      </c>
      <c r="H65" s="1">
        <v>17525.97</v>
      </c>
      <c r="I65" s="1">
        <v>4880.9699999999993</v>
      </c>
      <c r="J65" t="s">
        <v>19</v>
      </c>
      <c r="K65">
        <v>2019</v>
      </c>
      <c r="M65" t="str">
        <v>Small Business</v>
      </c>
      <c r="N65" t="str">
        <v>Germany</v>
      </c>
      <c r="O65" t="str">
        <v>Paseo</v>
      </c>
      <c r="P65" t="str">
        <v>Low</v>
      </c>
      <c r="Q65">
        <v>689</v>
      </c>
      <c r="R65">
        <v>300</v>
      </c>
      <c r="S65">
        <v>206700</v>
      </c>
      <c r="T65">
        <v>200499</v>
      </c>
      <c r="U65">
        <v>28249</v>
      </c>
      <c r="V65" t="str">
        <v>Jun</v>
      </c>
      <c r="W65">
        <v>2019</v>
      </c>
    </row>
    <row r="66" spans="1:23" x14ac:dyDescent="0.3">
      <c r="A66" t="s">
        <v>3</v>
      </c>
      <c r="B66" t="s">
        <v>40</v>
      </c>
      <c r="C66" t="s">
        <v>23</v>
      </c>
      <c r="D66" t="s">
        <v>27</v>
      </c>
      <c r="E66" s="1">
        <v>1445</v>
      </c>
      <c r="F66" s="1">
        <v>12</v>
      </c>
      <c r="G66" s="1">
        <v>17340</v>
      </c>
      <c r="H66" s="1">
        <v>17166.599999999999</v>
      </c>
      <c r="I66" s="1">
        <v>12831.599999999999</v>
      </c>
      <c r="J66" t="s">
        <v>21</v>
      </c>
      <c r="K66">
        <v>2019</v>
      </c>
      <c r="M66" t="str">
        <v>Enterprise</v>
      </c>
      <c r="N66" t="str">
        <v>Germany</v>
      </c>
      <c r="O66" t="str">
        <v>Paseo</v>
      </c>
      <c r="P66" t="str">
        <v>Low</v>
      </c>
      <c r="Q66">
        <v>1570</v>
      </c>
      <c r="R66">
        <v>125</v>
      </c>
      <c r="S66">
        <v>196250</v>
      </c>
      <c r="T66">
        <v>190362.5</v>
      </c>
      <c r="U66">
        <v>1962.5</v>
      </c>
      <c r="V66" t="str">
        <v>Jun</v>
      </c>
      <c r="W66">
        <v>2019</v>
      </c>
    </row>
    <row r="67" spans="1:23" x14ac:dyDescent="0.3">
      <c r="A67" t="s">
        <v>17</v>
      </c>
      <c r="B67" t="s">
        <v>42</v>
      </c>
      <c r="C67" t="s">
        <v>23</v>
      </c>
      <c r="D67" t="s">
        <v>27</v>
      </c>
      <c r="E67" s="1">
        <v>330</v>
      </c>
      <c r="F67" s="1">
        <v>125</v>
      </c>
      <c r="G67" s="1">
        <v>41250</v>
      </c>
      <c r="H67" s="1">
        <v>40837.5</v>
      </c>
      <c r="I67" s="1">
        <v>1237.5</v>
      </c>
      <c r="J67" t="s">
        <v>21</v>
      </c>
      <c r="K67">
        <v>2018</v>
      </c>
      <c r="M67" t="str">
        <v>Midmarket</v>
      </c>
      <c r="N67" t="str">
        <v>Germany</v>
      </c>
      <c r="O67" t="str">
        <v>Paseo</v>
      </c>
      <c r="P67" t="str">
        <v>Low</v>
      </c>
      <c r="Q67">
        <v>1945</v>
      </c>
      <c r="R67">
        <v>15</v>
      </c>
      <c r="S67">
        <v>29175</v>
      </c>
      <c r="T67">
        <v>28299.75</v>
      </c>
      <c r="U67">
        <v>8849.75</v>
      </c>
      <c r="V67" t="str">
        <v>Oct</v>
      </c>
      <c r="W67">
        <v>2018</v>
      </c>
    </row>
    <row r="68" spans="1:23" x14ac:dyDescent="0.3">
      <c r="A68" t="s">
        <v>3</v>
      </c>
      <c r="B68" t="s">
        <v>14</v>
      </c>
      <c r="C68" t="s">
        <v>23</v>
      </c>
      <c r="D68" t="s">
        <v>27</v>
      </c>
      <c r="E68" s="1">
        <v>2671</v>
      </c>
      <c r="F68" s="1">
        <v>12</v>
      </c>
      <c r="G68" s="1">
        <v>32052</v>
      </c>
      <c r="H68" s="1">
        <v>31731.48</v>
      </c>
      <c r="I68" s="1">
        <v>23718.48</v>
      </c>
      <c r="J68" t="s">
        <v>21</v>
      </c>
      <c r="K68">
        <v>2019</v>
      </c>
      <c r="M68" t="str">
        <v>Enterprise</v>
      </c>
      <c r="N68" t="str">
        <v>Germany</v>
      </c>
      <c r="O68" t="str">
        <v>Paseo</v>
      </c>
      <c r="P68" t="str">
        <v>Low</v>
      </c>
      <c r="Q68">
        <v>1706</v>
      </c>
      <c r="R68">
        <v>125</v>
      </c>
      <c r="S68">
        <v>213250</v>
      </c>
      <c r="T68">
        <v>206852.5</v>
      </c>
      <c r="U68">
        <v>2132.5</v>
      </c>
      <c r="V68" t="str">
        <v>Dec</v>
      </c>
      <c r="W68">
        <v>2019</v>
      </c>
    </row>
    <row r="69" spans="1:23" x14ac:dyDescent="0.3">
      <c r="A69" t="s">
        <v>3</v>
      </c>
      <c r="B69" t="s">
        <v>41</v>
      </c>
      <c r="C69" t="s">
        <v>23</v>
      </c>
      <c r="D69" t="s">
        <v>27</v>
      </c>
      <c r="E69" s="1">
        <v>766</v>
      </c>
      <c r="F69" s="1">
        <v>12</v>
      </c>
      <c r="G69" s="1">
        <v>9192</v>
      </c>
      <c r="H69" s="1">
        <v>9100.08</v>
      </c>
      <c r="I69" s="1">
        <v>6802.08</v>
      </c>
      <c r="J69" t="s">
        <v>10</v>
      </c>
      <c r="K69">
        <v>2018</v>
      </c>
      <c r="M69" t="str">
        <v>Enterprise</v>
      </c>
      <c r="N69" t="str">
        <v>Germany</v>
      </c>
      <c r="O69" t="str">
        <v>VTT</v>
      </c>
      <c r="P69" t="str">
        <v>Low</v>
      </c>
      <c r="Q69">
        <v>1570</v>
      </c>
      <c r="R69">
        <v>125</v>
      </c>
      <c r="S69">
        <v>196250</v>
      </c>
      <c r="T69">
        <v>190362.5</v>
      </c>
      <c r="U69">
        <v>1962.5</v>
      </c>
      <c r="V69" t="str">
        <v>Jun</v>
      </c>
      <c r="W69">
        <v>2019</v>
      </c>
    </row>
    <row r="70" spans="1:23" x14ac:dyDescent="0.3">
      <c r="A70" t="s">
        <v>12</v>
      </c>
      <c r="B70" t="s">
        <v>9</v>
      </c>
      <c r="C70" t="s">
        <v>23</v>
      </c>
      <c r="D70" t="s">
        <v>27</v>
      </c>
      <c r="E70" s="1">
        <v>494</v>
      </c>
      <c r="F70" s="1">
        <v>300</v>
      </c>
      <c r="G70" s="1">
        <v>148200</v>
      </c>
      <c r="H70" s="1">
        <v>146718</v>
      </c>
      <c r="I70" s="1">
        <v>23218</v>
      </c>
      <c r="J70" t="s">
        <v>10</v>
      </c>
      <c r="K70">
        <v>2018</v>
      </c>
      <c r="M70" t="str">
        <v>Midmarket</v>
      </c>
      <c r="N70" t="str">
        <v>Germany</v>
      </c>
      <c r="O70" t="str">
        <v>VTT</v>
      </c>
      <c r="P70" t="str">
        <v>Low</v>
      </c>
      <c r="Q70">
        <v>1945</v>
      </c>
      <c r="R70">
        <v>15</v>
      </c>
      <c r="S70">
        <v>29175</v>
      </c>
      <c r="T70">
        <v>28299.75</v>
      </c>
      <c r="U70">
        <v>8849.75</v>
      </c>
      <c r="V70" t="str">
        <v>Oct</v>
      </c>
      <c r="W70">
        <v>2018</v>
      </c>
    </row>
    <row r="71" spans="1:23" x14ac:dyDescent="0.3">
      <c r="A71" t="s">
        <v>12</v>
      </c>
      <c r="B71" t="s">
        <v>9</v>
      </c>
      <c r="C71" t="s">
        <v>23</v>
      </c>
      <c r="D71" t="s">
        <v>27</v>
      </c>
      <c r="E71" s="1">
        <v>494</v>
      </c>
      <c r="F71" s="1">
        <v>300</v>
      </c>
      <c r="G71" s="1">
        <v>148200</v>
      </c>
      <c r="H71" s="1">
        <v>146718</v>
      </c>
      <c r="I71" s="1">
        <v>23218</v>
      </c>
      <c r="J71" t="s">
        <v>10</v>
      </c>
      <c r="K71">
        <v>2018</v>
      </c>
      <c r="M71" t="str">
        <v>Channel Partners</v>
      </c>
      <c r="N71" t="str">
        <v>Germany</v>
      </c>
      <c r="O71" t="str">
        <v>VTT</v>
      </c>
      <c r="P71" t="str">
        <v>Low</v>
      </c>
      <c r="Q71">
        <v>2479</v>
      </c>
      <c r="R71">
        <v>12</v>
      </c>
      <c r="S71">
        <v>29748</v>
      </c>
      <c r="T71">
        <v>28855.56</v>
      </c>
      <c r="U71">
        <v>21418.560000000001</v>
      </c>
      <c r="V71" t="str">
        <v>Jan</v>
      </c>
      <c r="W71">
        <v>2019</v>
      </c>
    </row>
    <row r="72" spans="1:23" x14ac:dyDescent="0.3">
      <c r="A72" t="s">
        <v>6</v>
      </c>
      <c r="B72" t="s">
        <v>9</v>
      </c>
      <c r="C72" t="s">
        <v>23</v>
      </c>
      <c r="D72" t="s">
        <v>27</v>
      </c>
      <c r="E72" s="1">
        <v>1397</v>
      </c>
      <c r="F72" s="1">
        <v>350</v>
      </c>
      <c r="G72" s="1">
        <v>488950</v>
      </c>
      <c r="H72" s="1">
        <v>484060.5</v>
      </c>
      <c r="I72" s="1">
        <v>120840.5</v>
      </c>
      <c r="J72" t="s">
        <v>10</v>
      </c>
      <c r="K72">
        <v>2019</v>
      </c>
      <c r="M72" t="str">
        <v>Midmarket</v>
      </c>
      <c r="N72" t="str">
        <v>Mexico</v>
      </c>
      <c r="O72" t="str">
        <v>Montana</v>
      </c>
      <c r="P72" t="str">
        <v>Low</v>
      </c>
      <c r="Q72">
        <v>2031</v>
      </c>
      <c r="R72">
        <v>15</v>
      </c>
      <c r="S72">
        <v>30465</v>
      </c>
      <c r="T72">
        <v>29246.400000000001</v>
      </c>
      <c r="U72">
        <v>8936.4000000000015</v>
      </c>
      <c r="V72" t="str">
        <v>Oct</v>
      </c>
      <c r="W72">
        <v>2019</v>
      </c>
    </row>
    <row r="73" spans="1:23" x14ac:dyDescent="0.3">
      <c r="A73" t="s">
        <v>6</v>
      </c>
      <c r="B73" t="s">
        <v>14</v>
      </c>
      <c r="C73" t="s">
        <v>23</v>
      </c>
      <c r="D73" t="s">
        <v>27</v>
      </c>
      <c r="E73" s="1">
        <v>2155</v>
      </c>
      <c r="F73" s="1">
        <v>350</v>
      </c>
      <c r="G73" s="1">
        <v>754250</v>
      </c>
      <c r="H73" s="1">
        <v>746707.5</v>
      </c>
      <c r="I73" s="1">
        <v>186407.5</v>
      </c>
      <c r="J73" t="s">
        <v>15</v>
      </c>
      <c r="K73">
        <v>2019</v>
      </c>
      <c r="M73" t="str">
        <v>Small Business</v>
      </c>
      <c r="N73" t="str">
        <v>Germany</v>
      </c>
      <c r="O73" t="str">
        <v>Carretera</v>
      </c>
      <c r="P73" t="str">
        <v>Low</v>
      </c>
      <c r="Q73">
        <v>2021</v>
      </c>
      <c r="R73">
        <v>300</v>
      </c>
      <c r="S73">
        <v>606300</v>
      </c>
      <c r="T73">
        <v>582048</v>
      </c>
      <c r="U73">
        <v>76798</v>
      </c>
      <c r="V73" t="str">
        <v>Oct</v>
      </c>
      <c r="W73">
        <v>2019</v>
      </c>
    </row>
    <row r="74" spans="1:23" x14ac:dyDescent="0.3">
      <c r="A74" t="s">
        <v>18</v>
      </c>
      <c r="B74" t="s">
        <v>9</v>
      </c>
      <c r="C74" t="s">
        <v>8</v>
      </c>
      <c r="D74" t="s">
        <v>27</v>
      </c>
      <c r="E74" s="1">
        <v>2214</v>
      </c>
      <c r="F74" s="1">
        <v>15</v>
      </c>
      <c r="G74" s="1">
        <v>33210</v>
      </c>
      <c r="H74" s="1">
        <v>32877.9</v>
      </c>
      <c r="I74" s="1">
        <v>10737.900000000001</v>
      </c>
      <c r="J74" t="s">
        <v>13</v>
      </c>
      <c r="K74">
        <v>2019</v>
      </c>
      <c r="M74" t="str">
        <v>Midmarket</v>
      </c>
      <c r="N74" t="str">
        <v>Canada</v>
      </c>
      <c r="O74" t="str">
        <v>Montana</v>
      </c>
      <c r="P74" t="str">
        <v>Low</v>
      </c>
      <c r="Q74">
        <v>1967</v>
      </c>
      <c r="R74">
        <v>15</v>
      </c>
      <c r="S74">
        <v>29505</v>
      </c>
      <c r="T74">
        <v>28324.799999999999</v>
      </c>
      <c r="U74">
        <v>8654.7999999999993</v>
      </c>
      <c r="V74" t="str">
        <v>Mar</v>
      </c>
      <c r="W74">
        <v>2019</v>
      </c>
    </row>
    <row r="75" spans="1:23" x14ac:dyDescent="0.3">
      <c r="A75" t="s">
        <v>12</v>
      </c>
      <c r="B75" t="s">
        <v>42</v>
      </c>
      <c r="C75" t="s">
        <v>8</v>
      </c>
      <c r="D75" t="s">
        <v>27</v>
      </c>
      <c r="E75" s="1">
        <v>2301</v>
      </c>
      <c r="F75" s="1">
        <v>300</v>
      </c>
      <c r="G75" s="1">
        <v>690300</v>
      </c>
      <c r="H75" s="1">
        <v>683397</v>
      </c>
      <c r="I75" s="1">
        <v>108147</v>
      </c>
      <c r="J75" t="s">
        <v>4</v>
      </c>
      <c r="K75">
        <v>2019</v>
      </c>
      <c r="M75" t="str">
        <v>Small Business</v>
      </c>
      <c r="N75" t="str">
        <v>Germany</v>
      </c>
      <c r="O75" t="str">
        <v>Montana</v>
      </c>
      <c r="P75" t="str">
        <v>Low</v>
      </c>
      <c r="Q75">
        <v>1859</v>
      </c>
      <c r="R75">
        <v>300</v>
      </c>
      <c r="S75">
        <v>557700</v>
      </c>
      <c r="T75">
        <v>535392</v>
      </c>
      <c r="U75">
        <v>70642</v>
      </c>
      <c r="V75" t="str">
        <v>Aug</v>
      </c>
      <c r="W75">
        <v>2019</v>
      </c>
    </row>
    <row r="76" spans="1:23" x14ac:dyDescent="0.3">
      <c r="A76" t="s">
        <v>6</v>
      </c>
      <c r="B76" t="s">
        <v>14</v>
      </c>
      <c r="C76" t="s">
        <v>8</v>
      </c>
      <c r="D76" t="s">
        <v>27</v>
      </c>
      <c r="E76" s="1">
        <v>1375.5</v>
      </c>
      <c r="F76" s="1">
        <v>20</v>
      </c>
      <c r="G76" s="1">
        <v>27510</v>
      </c>
      <c r="H76" s="1">
        <v>27234.899999999998</v>
      </c>
      <c r="I76" s="1">
        <v>13479.899999999998</v>
      </c>
      <c r="J76" t="s">
        <v>19</v>
      </c>
      <c r="K76">
        <v>2019</v>
      </c>
      <c r="M76" t="str">
        <v>Government</v>
      </c>
      <c r="N76" t="str">
        <v>Canada</v>
      </c>
      <c r="O76" t="str">
        <v>Montana</v>
      </c>
      <c r="P76" t="str">
        <v>Low</v>
      </c>
      <c r="Q76">
        <v>2851</v>
      </c>
      <c r="R76">
        <v>7</v>
      </c>
      <c r="S76">
        <v>19957</v>
      </c>
      <c r="T76">
        <v>19158.72</v>
      </c>
      <c r="U76">
        <v>4903.7200000000012</v>
      </c>
      <c r="V76" t="str">
        <v>Oct</v>
      </c>
      <c r="W76">
        <v>2018</v>
      </c>
    </row>
    <row r="77" spans="1:23" x14ac:dyDescent="0.3">
      <c r="A77" t="s">
        <v>6</v>
      </c>
      <c r="B77" t="s">
        <v>14</v>
      </c>
      <c r="C77" t="s">
        <v>8</v>
      </c>
      <c r="D77" t="s">
        <v>27</v>
      </c>
      <c r="E77" s="1">
        <v>1375.5</v>
      </c>
      <c r="F77" s="1">
        <v>20</v>
      </c>
      <c r="G77" s="1">
        <v>27510</v>
      </c>
      <c r="H77" s="1">
        <v>27234.899999999998</v>
      </c>
      <c r="I77" s="1">
        <v>13479.899999999998</v>
      </c>
      <c r="J77" t="s">
        <v>19</v>
      </c>
      <c r="K77">
        <v>2019</v>
      </c>
      <c r="M77" t="str">
        <v>Small Business</v>
      </c>
      <c r="N77" t="str">
        <v>Germany</v>
      </c>
      <c r="O77" t="str">
        <v>Montana</v>
      </c>
      <c r="P77" t="str">
        <v>Low</v>
      </c>
      <c r="Q77">
        <v>2021</v>
      </c>
      <c r="R77">
        <v>300</v>
      </c>
      <c r="S77">
        <v>606300</v>
      </c>
      <c r="T77">
        <v>582048</v>
      </c>
      <c r="U77">
        <v>76798</v>
      </c>
      <c r="V77" t="str">
        <v>Oct</v>
      </c>
      <c r="W77">
        <v>2019</v>
      </c>
    </row>
    <row r="78" spans="1:23" x14ac:dyDescent="0.3">
      <c r="A78" t="s">
        <v>6</v>
      </c>
      <c r="B78" t="s">
        <v>40</v>
      </c>
      <c r="C78" t="s">
        <v>8</v>
      </c>
      <c r="D78" t="s">
        <v>27</v>
      </c>
      <c r="E78" s="1">
        <v>1830</v>
      </c>
      <c r="F78" s="1">
        <v>7</v>
      </c>
      <c r="G78" s="1">
        <v>12810</v>
      </c>
      <c r="H78" s="1">
        <v>12681.9</v>
      </c>
      <c r="I78" s="1">
        <v>3531.8999999999996</v>
      </c>
      <c r="J78" t="s">
        <v>22</v>
      </c>
      <c r="K78">
        <v>2019</v>
      </c>
      <c r="M78" t="str">
        <v>Enterprise</v>
      </c>
      <c r="N78" t="str">
        <v>Mexico</v>
      </c>
      <c r="O78" t="str">
        <v>Montana</v>
      </c>
      <c r="P78" t="str">
        <v>Low</v>
      </c>
      <c r="Q78">
        <v>1138</v>
      </c>
      <c r="R78">
        <v>125</v>
      </c>
      <c r="S78">
        <v>142250</v>
      </c>
      <c r="T78">
        <v>136560</v>
      </c>
      <c r="U78">
        <v>0</v>
      </c>
      <c r="V78" t="str">
        <v>Dec</v>
      </c>
      <c r="W78">
        <v>2019</v>
      </c>
    </row>
    <row r="79" spans="1:23" x14ac:dyDescent="0.3">
      <c r="A79" t="s">
        <v>12</v>
      </c>
      <c r="B79" t="s">
        <v>42</v>
      </c>
      <c r="C79" t="s">
        <v>8</v>
      </c>
      <c r="D79" t="s">
        <v>27</v>
      </c>
      <c r="E79" s="1">
        <v>2498</v>
      </c>
      <c r="F79" s="1">
        <v>300</v>
      </c>
      <c r="G79" s="1">
        <v>749400</v>
      </c>
      <c r="H79" s="1">
        <v>741906</v>
      </c>
      <c r="I79" s="1">
        <v>117406</v>
      </c>
      <c r="J79" t="s">
        <v>21</v>
      </c>
      <c r="K79">
        <v>2018</v>
      </c>
      <c r="M79" t="str">
        <v>Enterprise</v>
      </c>
      <c r="N79" t="str">
        <v>Germany</v>
      </c>
      <c r="O79" t="str">
        <v>Paseo</v>
      </c>
      <c r="P79" t="str">
        <v>Low</v>
      </c>
      <c r="Q79">
        <v>795</v>
      </c>
      <c r="R79">
        <v>125</v>
      </c>
      <c r="S79">
        <v>99375</v>
      </c>
      <c r="T79">
        <v>95400</v>
      </c>
      <c r="U79">
        <v>0</v>
      </c>
      <c r="V79" t="str">
        <v>Mar</v>
      </c>
      <c r="W79">
        <v>2019</v>
      </c>
    </row>
    <row r="80" spans="1:23" x14ac:dyDescent="0.3">
      <c r="A80" t="s">
        <v>17</v>
      </c>
      <c r="B80" t="s">
        <v>42</v>
      </c>
      <c r="C80" t="s">
        <v>8</v>
      </c>
      <c r="D80" t="s">
        <v>27</v>
      </c>
      <c r="E80" s="1">
        <v>663</v>
      </c>
      <c r="F80" s="1">
        <v>125</v>
      </c>
      <c r="G80" s="1">
        <v>82875</v>
      </c>
      <c r="H80" s="1">
        <v>82046.25</v>
      </c>
      <c r="I80" s="1">
        <v>2486.25</v>
      </c>
      <c r="J80" t="s">
        <v>10</v>
      </c>
      <c r="K80">
        <v>2018</v>
      </c>
      <c r="M80" t="str">
        <v>Small Business</v>
      </c>
      <c r="N80" t="str">
        <v>Germany</v>
      </c>
      <c r="O80" t="str">
        <v>Paseo</v>
      </c>
      <c r="P80" t="str">
        <v>Low</v>
      </c>
      <c r="Q80">
        <v>1414.5</v>
      </c>
      <c r="R80">
        <v>300</v>
      </c>
      <c r="S80">
        <v>424350</v>
      </c>
      <c r="T80">
        <v>407376</v>
      </c>
      <c r="U80">
        <v>53751</v>
      </c>
      <c r="V80" t="str">
        <v>Apr</v>
      </c>
      <c r="W80">
        <v>2019</v>
      </c>
    </row>
    <row r="81" spans="1:23" x14ac:dyDescent="0.3">
      <c r="A81" t="s">
        <v>18</v>
      </c>
      <c r="B81" t="s">
        <v>42</v>
      </c>
      <c r="C81" t="s">
        <v>5</v>
      </c>
      <c r="D81" t="s">
        <v>27</v>
      </c>
      <c r="E81" s="1">
        <v>1514</v>
      </c>
      <c r="F81" s="1">
        <v>15</v>
      </c>
      <c r="G81" s="1">
        <v>22710</v>
      </c>
      <c r="H81" s="1">
        <v>22482.9</v>
      </c>
      <c r="I81" s="1">
        <v>7342.9000000000015</v>
      </c>
      <c r="J81" t="s">
        <v>7</v>
      </c>
      <c r="K81">
        <v>2019</v>
      </c>
      <c r="M81" t="str">
        <v>Government</v>
      </c>
      <c r="N81" t="str">
        <v>Germany</v>
      </c>
      <c r="O81" t="str">
        <v>Amarilla</v>
      </c>
      <c r="P81" t="str">
        <v>Low</v>
      </c>
      <c r="Q81">
        <v>1907</v>
      </c>
      <c r="R81">
        <v>350</v>
      </c>
      <c r="S81">
        <v>667450</v>
      </c>
      <c r="T81">
        <v>640752</v>
      </c>
      <c r="U81">
        <v>144932</v>
      </c>
      <c r="V81" t="str">
        <v>Sep</v>
      </c>
      <c r="W81">
        <v>2019</v>
      </c>
    </row>
    <row r="82" spans="1:23" x14ac:dyDescent="0.3">
      <c r="A82" t="s">
        <v>6</v>
      </c>
      <c r="B82" t="s">
        <v>42</v>
      </c>
      <c r="C82" t="s">
        <v>5</v>
      </c>
      <c r="D82" t="s">
        <v>27</v>
      </c>
      <c r="E82" s="1">
        <v>4492.5</v>
      </c>
      <c r="F82" s="1">
        <v>7</v>
      </c>
      <c r="G82" s="1">
        <v>31447.5</v>
      </c>
      <c r="H82" s="1">
        <v>31133.024999999998</v>
      </c>
      <c r="I82" s="1">
        <v>8670.5249999999978</v>
      </c>
      <c r="J82" t="s">
        <v>4</v>
      </c>
      <c r="K82">
        <v>2019</v>
      </c>
      <c r="M82" t="str">
        <v>Government</v>
      </c>
      <c r="N82" t="str">
        <v>Germany</v>
      </c>
      <c r="O82" t="str">
        <v>Montana</v>
      </c>
      <c r="P82" t="str">
        <v>Medium</v>
      </c>
      <c r="Q82">
        <v>1159</v>
      </c>
      <c r="R82">
        <v>7</v>
      </c>
      <c r="S82">
        <v>8113</v>
      </c>
      <c r="T82">
        <v>7707.35</v>
      </c>
      <c r="U82">
        <v>1912.3500000000004</v>
      </c>
      <c r="V82" t="str">
        <v>Oct</v>
      </c>
      <c r="W82">
        <v>2018</v>
      </c>
    </row>
    <row r="83" spans="1:23" x14ac:dyDescent="0.3">
      <c r="A83" t="s">
        <v>17</v>
      </c>
      <c r="B83" t="s">
        <v>42</v>
      </c>
      <c r="C83" t="s">
        <v>5</v>
      </c>
      <c r="D83" t="s">
        <v>27</v>
      </c>
      <c r="E83" s="1">
        <v>727</v>
      </c>
      <c r="F83" s="1">
        <v>125</v>
      </c>
      <c r="G83" s="1">
        <v>90875</v>
      </c>
      <c r="H83" s="1">
        <v>89966.25</v>
      </c>
      <c r="I83" s="1">
        <v>2726.25</v>
      </c>
      <c r="J83" t="s">
        <v>25</v>
      </c>
      <c r="K83">
        <v>2019</v>
      </c>
      <c r="M83" t="str">
        <v>Government</v>
      </c>
      <c r="N83" t="str">
        <v>Germany</v>
      </c>
      <c r="O83" t="str">
        <v>Paseo</v>
      </c>
      <c r="P83" t="str">
        <v>Medium</v>
      </c>
      <c r="Q83">
        <v>1372</v>
      </c>
      <c r="R83">
        <v>7</v>
      </c>
      <c r="S83">
        <v>9604</v>
      </c>
      <c r="T83">
        <v>9123.7999999999993</v>
      </c>
      <c r="U83">
        <v>2263.7999999999993</v>
      </c>
      <c r="V83" t="str">
        <v>Jan</v>
      </c>
      <c r="W83">
        <v>2019</v>
      </c>
    </row>
    <row r="84" spans="1:23" x14ac:dyDescent="0.3">
      <c r="A84" t="s">
        <v>17</v>
      </c>
      <c r="B84" t="s">
        <v>14</v>
      </c>
      <c r="C84" t="s">
        <v>5</v>
      </c>
      <c r="D84" t="s">
        <v>27</v>
      </c>
      <c r="E84" s="1">
        <v>787</v>
      </c>
      <c r="F84" s="1">
        <v>125</v>
      </c>
      <c r="G84" s="1">
        <v>98375</v>
      </c>
      <c r="H84" s="1">
        <v>97391.25</v>
      </c>
      <c r="I84" s="1">
        <v>2951.25</v>
      </c>
      <c r="J84" t="s">
        <v>25</v>
      </c>
      <c r="K84">
        <v>2019</v>
      </c>
      <c r="M84" t="str">
        <v>Government</v>
      </c>
      <c r="N84" t="str">
        <v>Germany</v>
      </c>
      <c r="O84" t="str">
        <v>Amarilla</v>
      </c>
      <c r="P84" t="str">
        <v>Medium</v>
      </c>
      <c r="Q84">
        <v>1159</v>
      </c>
      <c r="R84">
        <v>7</v>
      </c>
      <c r="S84">
        <v>8113</v>
      </c>
      <c r="T84">
        <v>7707.35</v>
      </c>
      <c r="U84">
        <v>1912.3500000000004</v>
      </c>
      <c r="V84" t="str">
        <v>Oct</v>
      </c>
      <c r="W84">
        <v>2018</v>
      </c>
    </row>
    <row r="85" spans="1:23" x14ac:dyDescent="0.3">
      <c r="A85" t="s">
        <v>17</v>
      </c>
      <c r="B85" t="s">
        <v>9</v>
      </c>
      <c r="C85" t="s">
        <v>5</v>
      </c>
      <c r="D85" t="s">
        <v>27</v>
      </c>
      <c r="E85" s="1">
        <v>1823</v>
      </c>
      <c r="F85" s="1">
        <v>125</v>
      </c>
      <c r="G85" s="1">
        <v>227875</v>
      </c>
      <c r="H85" s="1">
        <v>225596.25</v>
      </c>
      <c r="I85" s="1">
        <v>6836.25</v>
      </c>
      <c r="J85" t="s">
        <v>19</v>
      </c>
      <c r="K85">
        <v>2019</v>
      </c>
      <c r="M85" t="str">
        <v>Channel Partners</v>
      </c>
      <c r="N85" t="str">
        <v>Germany</v>
      </c>
      <c r="O85" t="str">
        <v>Carretera</v>
      </c>
      <c r="P85" t="str">
        <v>Medium</v>
      </c>
      <c r="Q85">
        <v>1116</v>
      </c>
      <c r="R85">
        <v>12</v>
      </c>
      <c r="S85">
        <v>13392</v>
      </c>
      <c r="T85">
        <v>12722.4</v>
      </c>
      <c r="U85">
        <v>9374.4</v>
      </c>
      <c r="V85" t="str">
        <v>Feb</v>
      </c>
      <c r="W85">
        <v>2019</v>
      </c>
    </row>
    <row r="86" spans="1:23" x14ac:dyDescent="0.3">
      <c r="A86" t="s">
        <v>18</v>
      </c>
      <c r="B86" t="s">
        <v>41</v>
      </c>
      <c r="C86" t="s">
        <v>5</v>
      </c>
      <c r="D86" t="s">
        <v>27</v>
      </c>
      <c r="E86" s="1">
        <v>747</v>
      </c>
      <c r="F86" s="1">
        <v>15</v>
      </c>
      <c r="G86" s="1">
        <v>11205</v>
      </c>
      <c r="H86" s="1">
        <v>11092.95</v>
      </c>
      <c r="I86" s="1">
        <v>3622.9500000000007</v>
      </c>
      <c r="J86" t="s">
        <v>21</v>
      </c>
      <c r="K86">
        <v>2019</v>
      </c>
      <c r="M86" t="str">
        <v>Government</v>
      </c>
      <c r="N86" t="str">
        <v>Germany</v>
      </c>
      <c r="O86" t="str">
        <v>Carretera</v>
      </c>
      <c r="P86" t="str">
        <v>Medium</v>
      </c>
      <c r="Q86">
        <v>1016</v>
      </c>
      <c r="R86">
        <v>7</v>
      </c>
      <c r="S86">
        <v>7112</v>
      </c>
      <c r="T86">
        <v>6756.4</v>
      </c>
      <c r="U86">
        <v>1676.3999999999996</v>
      </c>
      <c r="V86" t="str">
        <v>Nov</v>
      </c>
      <c r="W86">
        <v>2018</v>
      </c>
    </row>
    <row r="87" spans="1:23" x14ac:dyDescent="0.3">
      <c r="A87" t="s">
        <v>3</v>
      </c>
      <c r="B87" t="s">
        <v>41</v>
      </c>
      <c r="C87" t="s">
        <v>5</v>
      </c>
      <c r="D87" t="s">
        <v>27</v>
      </c>
      <c r="E87" s="1">
        <v>766</v>
      </c>
      <c r="F87" s="1">
        <v>12</v>
      </c>
      <c r="G87" s="1">
        <v>9192</v>
      </c>
      <c r="H87" s="1">
        <v>9100.08</v>
      </c>
      <c r="I87" s="1">
        <v>6802.08</v>
      </c>
      <c r="J87" t="s">
        <v>10</v>
      </c>
      <c r="K87">
        <v>2018</v>
      </c>
      <c r="M87" t="str">
        <v>Government</v>
      </c>
      <c r="N87" t="str">
        <v>France</v>
      </c>
      <c r="O87" t="str">
        <v>Montana</v>
      </c>
      <c r="P87" t="str">
        <v>Medium</v>
      </c>
      <c r="Q87">
        <v>1384.5</v>
      </c>
      <c r="R87">
        <v>350</v>
      </c>
      <c r="S87">
        <v>484575</v>
      </c>
      <c r="T87">
        <v>460346.25</v>
      </c>
      <c r="U87">
        <v>100376.25</v>
      </c>
      <c r="V87" t="str">
        <v>Jan</v>
      </c>
      <c r="W87">
        <v>2019</v>
      </c>
    </row>
    <row r="88" spans="1:23" x14ac:dyDescent="0.3">
      <c r="A88" t="s">
        <v>12</v>
      </c>
      <c r="B88" t="s">
        <v>42</v>
      </c>
      <c r="C88" t="s">
        <v>5</v>
      </c>
      <c r="D88" t="s">
        <v>27</v>
      </c>
      <c r="E88" s="1">
        <v>2905</v>
      </c>
      <c r="F88" s="1">
        <v>300</v>
      </c>
      <c r="G88" s="1">
        <v>871500</v>
      </c>
      <c r="H88" s="1">
        <v>862785</v>
      </c>
      <c r="I88" s="1">
        <v>136535</v>
      </c>
      <c r="J88" t="s">
        <v>16</v>
      </c>
      <c r="K88">
        <v>2019</v>
      </c>
      <c r="M88" t="str">
        <v>Enterprise</v>
      </c>
      <c r="N88" t="str">
        <v>Usa</v>
      </c>
      <c r="O88" t="str">
        <v>Montana</v>
      </c>
      <c r="P88" t="str">
        <v>Medium</v>
      </c>
      <c r="Q88">
        <v>3627</v>
      </c>
      <c r="R88">
        <v>125</v>
      </c>
      <c r="S88">
        <v>453375</v>
      </c>
      <c r="T88">
        <v>430706.25</v>
      </c>
      <c r="U88">
        <v>-4533.75</v>
      </c>
      <c r="V88" t="str">
        <v>Jul</v>
      </c>
      <c r="W88">
        <v>2019</v>
      </c>
    </row>
    <row r="89" spans="1:23" x14ac:dyDescent="0.3">
      <c r="A89" t="s">
        <v>6</v>
      </c>
      <c r="B89" t="s">
        <v>14</v>
      </c>
      <c r="C89" t="s">
        <v>5</v>
      </c>
      <c r="D89" t="s">
        <v>27</v>
      </c>
      <c r="E89" s="1">
        <v>2155</v>
      </c>
      <c r="F89" s="1">
        <v>350</v>
      </c>
      <c r="G89" s="1">
        <v>754250</v>
      </c>
      <c r="H89" s="1">
        <v>746707.5</v>
      </c>
      <c r="I89" s="1">
        <v>186407.5</v>
      </c>
      <c r="J89" t="s">
        <v>15</v>
      </c>
      <c r="K89">
        <v>2019</v>
      </c>
      <c r="M89" t="str">
        <v>Government</v>
      </c>
      <c r="N89" t="str">
        <v>Mexico</v>
      </c>
      <c r="O89" t="str">
        <v>Montana</v>
      </c>
      <c r="P89" t="str">
        <v>Medium</v>
      </c>
      <c r="Q89">
        <v>720</v>
      </c>
      <c r="R89">
        <v>350</v>
      </c>
      <c r="S89">
        <v>252000</v>
      </c>
      <c r="T89">
        <v>239400</v>
      </c>
      <c r="U89">
        <v>52200</v>
      </c>
      <c r="V89" t="str">
        <v>Sep</v>
      </c>
      <c r="W89">
        <v>2018</v>
      </c>
    </row>
    <row r="90" spans="1:23" x14ac:dyDescent="0.3">
      <c r="A90" t="s">
        <v>6</v>
      </c>
      <c r="B90" t="s">
        <v>14</v>
      </c>
      <c r="C90" t="s">
        <v>20</v>
      </c>
      <c r="D90" t="s">
        <v>27</v>
      </c>
      <c r="E90" s="1">
        <v>3864</v>
      </c>
      <c r="F90" s="1">
        <v>20</v>
      </c>
      <c r="G90" s="1">
        <v>77280</v>
      </c>
      <c r="H90" s="1">
        <v>76507.200000000012</v>
      </c>
      <c r="I90" s="1">
        <v>37867.200000000004</v>
      </c>
      <c r="J90" t="s">
        <v>4</v>
      </c>
      <c r="K90">
        <v>2019</v>
      </c>
      <c r="M90" t="str">
        <v>Channel Partners</v>
      </c>
      <c r="N90" t="str">
        <v>Germany</v>
      </c>
      <c r="O90" t="str">
        <v>Montana</v>
      </c>
      <c r="P90" t="str">
        <v>Medium</v>
      </c>
      <c r="Q90">
        <v>2342</v>
      </c>
      <c r="R90">
        <v>12</v>
      </c>
      <c r="S90">
        <v>28104</v>
      </c>
      <c r="T90">
        <v>26698.799999999999</v>
      </c>
      <c r="U90">
        <v>19672.8</v>
      </c>
      <c r="V90" t="str">
        <v>Nov</v>
      </c>
      <c r="W90">
        <v>2019</v>
      </c>
    </row>
    <row r="91" spans="1:23" x14ac:dyDescent="0.3">
      <c r="A91" t="s">
        <v>6</v>
      </c>
      <c r="B91" t="s">
        <v>9</v>
      </c>
      <c r="C91" t="s">
        <v>20</v>
      </c>
      <c r="D91" t="s">
        <v>27</v>
      </c>
      <c r="E91" s="1">
        <v>362</v>
      </c>
      <c r="F91" s="1">
        <v>7</v>
      </c>
      <c r="G91" s="1">
        <v>2534</v>
      </c>
      <c r="H91" s="1">
        <v>2508.66</v>
      </c>
      <c r="I91" s="1">
        <v>698.65999999999985</v>
      </c>
      <c r="J91" t="s">
        <v>0</v>
      </c>
      <c r="K91">
        <v>2019</v>
      </c>
      <c r="M91" t="str">
        <v>Small Business</v>
      </c>
      <c r="N91" t="str">
        <v>Mexico</v>
      </c>
      <c r="O91" t="str">
        <v>Montana</v>
      </c>
      <c r="P91" t="str">
        <v>Medium</v>
      </c>
      <c r="Q91">
        <v>1100</v>
      </c>
      <c r="R91">
        <v>300</v>
      </c>
      <c r="S91">
        <v>330000</v>
      </c>
      <c r="T91">
        <v>313500</v>
      </c>
      <c r="U91">
        <v>38500</v>
      </c>
      <c r="V91" t="str">
        <v>Dec</v>
      </c>
      <c r="W91">
        <v>2018</v>
      </c>
    </row>
    <row r="92" spans="1:23" x14ac:dyDescent="0.3">
      <c r="A92" t="s">
        <v>17</v>
      </c>
      <c r="B92" t="s">
        <v>40</v>
      </c>
      <c r="C92" t="s">
        <v>20</v>
      </c>
      <c r="D92" t="s">
        <v>27</v>
      </c>
      <c r="E92" s="1">
        <v>923</v>
      </c>
      <c r="F92" s="1">
        <v>125</v>
      </c>
      <c r="G92" s="1">
        <v>115375</v>
      </c>
      <c r="H92" s="1">
        <v>114221.25</v>
      </c>
      <c r="I92" s="1">
        <v>3461.25</v>
      </c>
      <c r="J92" t="s">
        <v>22</v>
      </c>
      <c r="K92">
        <v>2019</v>
      </c>
      <c r="M92" t="str">
        <v>Midmarket</v>
      </c>
      <c r="N92" t="str">
        <v>Germany</v>
      </c>
      <c r="O92" t="str">
        <v>Paseo</v>
      </c>
      <c r="P92" t="str">
        <v>Medium</v>
      </c>
      <c r="Q92">
        <v>2116</v>
      </c>
      <c r="R92">
        <v>15</v>
      </c>
      <c r="S92">
        <v>31740</v>
      </c>
      <c r="T92">
        <v>30153</v>
      </c>
      <c r="U92">
        <v>8993</v>
      </c>
      <c r="V92" t="str">
        <v>Dec</v>
      </c>
      <c r="W92">
        <v>2018</v>
      </c>
    </row>
    <row r="93" spans="1:23" x14ac:dyDescent="0.3">
      <c r="A93" t="s">
        <v>17</v>
      </c>
      <c r="B93" t="s">
        <v>42</v>
      </c>
      <c r="C93" t="s">
        <v>20</v>
      </c>
      <c r="D93" t="s">
        <v>27</v>
      </c>
      <c r="E93" s="1">
        <v>663</v>
      </c>
      <c r="F93" s="1">
        <v>125</v>
      </c>
      <c r="G93" s="1">
        <v>82875</v>
      </c>
      <c r="H93" s="1">
        <v>82046.25</v>
      </c>
      <c r="I93" s="1">
        <v>2486.25</v>
      </c>
      <c r="J93" t="s">
        <v>10</v>
      </c>
      <c r="K93">
        <v>2018</v>
      </c>
      <c r="M93" t="str">
        <v>Enterprise</v>
      </c>
      <c r="N93" t="str">
        <v>Germany</v>
      </c>
      <c r="O93" t="str">
        <v>Velo</v>
      </c>
      <c r="P93" t="str">
        <v>Medium</v>
      </c>
      <c r="Q93">
        <v>807</v>
      </c>
      <c r="R93">
        <v>125</v>
      </c>
      <c r="S93">
        <v>100875</v>
      </c>
      <c r="T93">
        <v>95831.25</v>
      </c>
      <c r="U93">
        <v>-1008.75</v>
      </c>
      <c r="V93" t="str">
        <v>Feb</v>
      </c>
      <c r="W93">
        <v>2019</v>
      </c>
    </row>
    <row r="94" spans="1:23" x14ac:dyDescent="0.3">
      <c r="A94" t="s">
        <v>6</v>
      </c>
      <c r="B94" t="s">
        <v>40</v>
      </c>
      <c r="C94" t="s">
        <v>20</v>
      </c>
      <c r="D94" t="s">
        <v>27</v>
      </c>
      <c r="E94" s="1">
        <v>2092</v>
      </c>
      <c r="F94" s="1">
        <v>7</v>
      </c>
      <c r="G94" s="1">
        <v>14644</v>
      </c>
      <c r="H94" s="1">
        <v>14497.56</v>
      </c>
      <c r="I94" s="1">
        <v>4037.5599999999995</v>
      </c>
      <c r="J94" t="s">
        <v>16</v>
      </c>
      <c r="K94">
        <v>2018</v>
      </c>
      <c r="M94" t="str">
        <v>Small Business</v>
      </c>
      <c r="N94" t="str">
        <v>Germany</v>
      </c>
      <c r="O94" t="str">
        <v>Velo</v>
      </c>
      <c r="P94" t="str">
        <v>Medium</v>
      </c>
      <c r="Q94">
        <v>1250</v>
      </c>
      <c r="R94">
        <v>300</v>
      </c>
      <c r="S94">
        <v>375000</v>
      </c>
      <c r="T94">
        <v>356250</v>
      </c>
      <c r="U94">
        <v>43750</v>
      </c>
      <c r="V94" t="str">
        <v>Dec</v>
      </c>
      <c r="W94">
        <v>2019</v>
      </c>
    </row>
    <row r="95" spans="1:23" x14ac:dyDescent="0.3">
      <c r="A95" t="s">
        <v>6</v>
      </c>
      <c r="B95" t="s">
        <v>41</v>
      </c>
      <c r="C95" t="s">
        <v>2</v>
      </c>
      <c r="D95" t="s">
        <v>27</v>
      </c>
      <c r="E95" s="1">
        <v>263</v>
      </c>
      <c r="F95" s="1">
        <v>7</v>
      </c>
      <c r="G95" s="1">
        <v>1841</v>
      </c>
      <c r="H95" s="1">
        <v>1822.59</v>
      </c>
      <c r="I95" s="1">
        <v>507.58999999999992</v>
      </c>
      <c r="J95" t="s">
        <v>13</v>
      </c>
      <c r="K95">
        <v>2019</v>
      </c>
      <c r="M95" t="str">
        <v>Government</v>
      </c>
      <c r="N95" t="str">
        <v>Germany</v>
      </c>
      <c r="O95" t="str">
        <v>VTT</v>
      </c>
      <c r="P95" t="str">
        <v>Medium</v>
      </c>
      <c r="Q95">
        <v>2297</v>
      </c>
      <c r="R95">
        <v>20</v>
      </c>
      <c r="S95">
        <v>45940</v>
      </c>
      <c r="T95">
        <v>43643</v>
      </c>
      <c r="U95">
        <v>20673</v>
      </c>
      <c r="V95" t="str">
        <v>Nov</v>
      </c>
      <c r="W95">
        <v>2018</v>
      </c>
    </row>
    <row r="96" spans="1:23" x14ac:dyDescent="0.3">
      <c r="A96" t="s">
        <v>6</v>
      </c>
      <c r="B96" t="s">
        <v>40</v>
      </c>
      <c r="C96" t="s">
        <v>2</v>
      </c>
      <c r="D96" t="s">
        <v>27</v>
      </c>
      <c r="E96" s="1">
        <v>943.5</v>
      </c>
      <c r="F96" s="1">
        <v>350</v>
      </c>
      <c r="G96" s="1">
        <v>330225</v>
      </c>
      <c r="H96" s="1">
        <v>326922.75</v>
      </c>
      <c r="I96" s="1">
        <v>81612.75</v>
      </c>
      <c r="J96" t="s">
        <v>4</v>
      </c>
      <c r="K96">
        <v>2019</v>
      </c>
      <c r="M96" t="str">
        <v>Government</v>
      </c>
      <c r="N96" t="str">
        <v>Germany</v>
      </c>
      <c r="O96" t="str">
        <v>Amarilla</v>
      </c>
      <c r="P96" t="str">
        <v>Medium</v>
      </c>
      <c r="Q96">
        <v>1350</v>
      </c>
      <c r="R96">
        <v>350</v>
      </c>
      <c r="S96">
        <v>472500</v>
      </c>
      <c r="T96">
        <v>448875</v>
      </c>
      <c r="U96">
        <v>97875</v>
      </c>
      <c r="V96" t="str">
        <v>Feb</v>
      </c>
      <c r="W96">
        <v>2019</v>
      </c>
    </row>
    <row r="97" spans="1:23" x14ac:dyDescent="0.3">
      <c r="A97" t="s">
        <v>17</v>
      </c>
      <c r="B97" t="s">
        <v>42</v>
      </c>
      <c r="C97" t="s">
        <v>2</v>
      </c>
      <c r="D97" t="s">
        <v>27</v>
      </c>
      <c r="E97" s="1">
        <v>727</v>
      </c>
      <c r="F97" s="1">
        <v>125</v>
      </c>
      <c r="G97" s="1">
        <v>90875</v>
      </c>
      <c r="H97" s="1">
        <v>89966.25</v>
      </c>
      <c r="I97" s="1">
        <v>2726.25</v>
      </c>
      <c r="J97" t="s">
        <v>25</v>
      </c>
      <c r="K97">
        <v>2019</v>
      </c>
      <c r="M97" t="str">
        <v>Small Business</v>
      </c>
      <c r="N97" t="str">
        <v>Germany</v>
      </c>
      <c r="O97" t="str">
        <v>Amarilla</v>
      </c>
      <c r="P97" t="str">
        <v>Medium</v>
      </c>
      <c r="Q97">
        <v>1250</v>
      </c>
      <c r="R97">
        <v>300</v>
      </c>
      <c r="S97">
        <v>375000</v>
      </c>
      <c r="T97">
        <v>356250</v>
      </c>
      <c r="U97">
        <v>43750</v>
      </c>
      <c r="V97" t="str">
        <v>Dec</v>
      </c>
      <c r="W97">
        <v>2019</v>
      </c>
    </row>
    <row r="98" spans="1:23" x14ac:dyDescent="0.3">
      <c r="A98" t="s">
        <v>17</v>
      </c>
      <c r="B98" t="s">
        <v>14</v>
      </c>
      <c r="C98" t="s">
        <v>2</v>
      </c>
      <c r="D98" t="s">
        <v>27</v>
      </c>
      <c r="E98" s="1">
        <v>787</v>
      </c>
      <c r="F98" s="1">
        <v>125</v>
      </c>
      <c r="G98" s="1">
        <v>98375</v>
      </c>
      <c r="H98" s="1">
        <v>97391.25</v>
      </c>
      <c r="I98" s="1">
        <v>2951.25</v>
      </c>
      <c r="J98" t="s">
        <v>25</v>
      </c>
      <c r="K98">
        <v>2019</v>
      </c>
      <c r="M98" t="str">
        <v>Enterprise</v>
      </c>
      <c r="N98" t="str">
        <v>Germany</v>
      </c>
      <c r="O98" t="str">
        <v>Carretera</v>
      </c>
      <c r="P98" t="str">
        <v>Medium</v>
      </c>
      <c r="Q98">
        <v>887</v>
      </c>
      <c r="R98">
        <v>125</v>
      </c>
      <c r="S98">
        <v>110875</v>
      </c>
      <c r="T98">
        <v>104222.5</v>
      </c>
      <c r="U98">
        <v>-2217.5</v>
      </c>
      <c r="V98" t="str">
        <v>Dec</v>
      </c>
      <c r="W98">
        <v>2018</v>
      </c>
    </row>
    <row r="99" spans="1:23" x14ac:dyDescent="0.3">
      <c r="A99" t="s">
        <v>12</v>
      </c>
      <c r="B99" t="s">
        <v>41</v>
      </c>
      <c r="C99" t="s">
        <v>2</v>
      </c>
      <c r="D99" t="s">
        <v>27</v>
      </c>
      <c r="E99" s="1">
        <v>986</v>
      </c>
      <c r="F99" s="1">
        <v>300</v>
      </c>
      <c r="G99" s="1">
        <v>295800</v>
      </c>
      <c r="H99" s="1">
        <v>292842</v>
      </c>
      <c r="I99" s="1">
        <v>46342</v>
      </c>
      <c r="J99" t="s">
        <v>21</v>
      </c>
      <c r="K99">
        <v>2019</v>
      </c>
      <c r="M99" t="str">
        <v>Government</v>
      </c>
      <c r="N99" t="str">
        <v>Mexico</v>
      </c>
      <c r="O99" t="str">
        <v>Montana</v>
      </c>
      <c r="P99" t="str">
        <v>Medium</v>
      </c>
      <c r="Q99">
        <v>980</v>
      </c>
      <c r="R99">
        <v>350</v>
      </c>
      <c r="S99">
        <v>343000</v>
      </c>
      <c r="T99">
        <v>322420</v>
      </c>
      <c r="U99">
        <v>67620</v>
      </c>
      <c r="V99" t="str">
        <v>Apr</v>
      </c>
      <c r="W99">
        <v>2019</v>
      </c>
    </row>
    <row r="100" spans="1:23" x14ac:dyDescent="0.3">
      <c r="A100" t="s">
        <v>12</v>
      </c>
      <c r="B100" t="s">
        <v>9</v>
      </c>
      <c r="C100" t="s">
        <v>2</v>
      </c>
      <c r="D100" t="s">
        <v>27</v>
      </c>
      <c r="E100" s="1">
        <v>494</v>
      </c>
      <c r="F100" s="1">
        <v>300</v>
      </c>
      <c r="G100" s="1">
        <v>148200</v>
      </c>
      <c r="H100" s="1">
        <v>146718</v>
      </c>
      <c r="I100" s="1">
        <v>23218</v>
      </c>
      <c r="J100" t="s">
        <v>10</v>
      </c>
      <c r="K100">
        <v>2018</v>
      </c>
      <c r="M100" t="str">
        <v>Government</v>
      </c>
      <c r="N100" t="str">
        <v>Germany</v>
      </c>
      <c r="O100" t="str">
        <v>Montana</v>
      </c>
      <c r="P100" t="str">
        <v>Medium</v>
      </c>
      <c r="Q100">
        <v>1460</v>
      </c>
      <c r="R100">
        <v>350</v>
      </c>
      <c r="S100">
        <v>511000</v>
      </c>
      <c r="T100">
        <v>480340</v>
      </c>
      <c r="U100">
        <v>100740</v>
      </c>
      <c r="V100" t="str">
        <v>May</v>
      </c>
      <c r="W100">
        <v>2019</v>
      </c>
    </row>
    <row r="101" spans="1:23" x14ac:dyDescent="0.3">
      <c r="A101" t="s">
        <v>6</v>
      </c>
      <c r="B101" t="s">
        <v>9</v>
      </c>
      <c r="C101" t="s">
        <v>2</v>
      </c>
      <c r="D101" t="s">
        <v>27</v>
      </c>
      <c r="E101" s="1">
        <v>1397</v>
      </c>
      <c r="F101" s="1">
        <v>350</v>
      </c>
      <c r="G101" s="1">
        <v>488950</v>
      </c>
      <c r="H101" s="1">
        <v>484060.5</v>
      </c>
      <c r="I101" s="1">
        <v>120840.5</v>
      </c>
      <c r="J101" t="s">
        <v>10</v>
      </c>
      <c r="K101">
        <v>2019</v>
      </c>
      <c r="M101" t="str">
        <v>Government</v>
      </c>
      <c r="N101" t="str">
        <v>France</v>
      </c>
      <c r="O101" t="str">
        <v>Montana</v>
      </c>
      <c r="P101" t="str">
        <v>Medium</v>
      </c>
      <c r="Q101">
        <v>1403</v>
      </c>
      <c r="R101">
        <v>7</v>
      </c>
      <c r="S101">
        <v>9821</v>
      </c>
      <c r="T101">
        <v>9231.74</v>
      </c>
      <c r="U101">
        <v>2216.7399999999998</v>
      </c>
      <c r="V101" t="str">
        <v>Oct</v>
      </c>
      <c r="W101">
        <v>2018</v>
      </c>
    </row>
    <row r="102" spans="1:23" x14ac:dyDescent="0.3">
      <c r="A102" t="s">
        <v>17</v>
      </c>
      <c r="B102" t="s">
        <v>14</v>
      </c>
      <c r="C102" t="s">
        <v>2</v>
      </c>
      <c r="D102" t="s">
        <v>27</v>
      </c>
      <c r="E102" s="1">
        <v>1744</v>
      </c>
      <c r="F102" s="1">
        <v>125</v>
      </c>
      <c r="G102" s="1">
        <v>218000</v>
      </c>
      <c r="H102" s="1">
        <v>215820</v>
      </c>
      <c r="I102" s="1">
        <v>6540</v>
      </c>
      <c r="J102" t="s">
        <v>16</v>
      </c>
      <c r="K102">
        <v>2019</v>
      </c>
      <c r="M102" t="str">
        <v>Channel Partners</v>
      </c>
      <c r="N102" t="str">
        <v>Usa</v>
      </c>
      <c r="O102" t="str">
        <v>Montana</v>
      </c>
      <c r="P102" t="str">
        <v>Medium</v>
      </c>
      <c r="Q102">
        <v>2723</v>
      </c>
      <c r="R102">
        <v>12</v>
      </c>
      <c r="S102">
        <v>32676</v>
      </c>
      <c r="T102">
        <v>30715.439999999999</v>
      </c>
      <c r="U102">
        <v>22546.44</v>
      </c>
      <c r="V102" t="str">
        <v>Nov</v>
      </c>
      <c r="W102">
        <v>2019</v>
      </c>
    </row>
    <row r="103" spans="1:23" x14ac:dyDescent="0.3">
      <c r="A103" t="s">
        <v>3</v>
      </c>
      <c r="B103" t="s">
        <v>42</v>
      </c>
      <c r="C103" t="s">
        <v>11</v>
      </c>
      <c r="D103" t="s">
        <v>27</v>
      </c>
      <c r="E103" s="1">
        <v>1989</v>
      </c>
      <c r="F103" s="1">
        <v>12</v>
      </c>
      <c r="G103" s="1">
        <v>23868</v>
      </c>
      <c r="H103" s="1">
        <v>23629.32</v>
      </c>
      <c r="I103" s="1">
        <v>17662.32</v>
      </c>
      <c r="J103" t="s">
        <v>21</v>
      </c>
      <c r="K103">
        <v>2018</v>
      </c>
      <c r="M103" t="str">
        <v>Midmarket</v>
      </c>
      <c r="N103" t="str">
        <v>Germany</v>
      </c>
      <c r="O103" t="str">
        <v>Velo</v>
      </c>
      <c r="P103" t="str">
        <v>Medium</v>
      </c>
      <c r="Q103">
        <v>1530</v>
      </c>
      <c r="R103">
        <v>15</v>
      </c>
      <c r="S103">
        <v>22950</v>
      </c>
      <c r="T103">
        <v>21573</v>
      </c>
      <c r="U103">
        <v>6273</v>
      </c>
      <c r="V103" t="str">
        <v>May</v>
      </c>
      <c r="W103">
        <v>2019</v>
      </c>
    </row>
    <row r="104" spans="1:23" x14ac:dyDescent="0.3">
      <c r="A104" t="s">
        <v>18</v>
      </c>
      <c r="B104" t="s">
        <v>14</v>
      </c>
      <c r="C104" t="s">
        <v>11</v>
      </c>
      <c r="D104" t="s">
        <v>27</v>
      </c>
      <c r="E104" s="1">
        <v>321</v>
      </c>
      <c r="F104" s="1">
        <v>15</v>
      </c>
      <c r="G104" s="1">
        <v>4815</v>
      </c>
      <c r="H104" s="1">
        <v>4766.8500000000004</v>
      </c>
      <c r="I104" s="1">
        <v>1556.8500000000004</v>
      </c>
      <c r="J104" t="s">
        <v>16</v>
      </c>
      <c r="K104">
        <v>2018</v>
      </c>
      <c r="M104" t="str">
        <v>Government</v>
      </c>
      <c r="N104" t="str">
        <v>France</v>
      </c>
      <c r="O104" t="str">
        <v>Montana</v>
      </c>
      <c r="P104" t="str">
        <v>Medium</v>
      </c>
      <c r="Q104">
        <v>1757</v>
      </c>
      <c r="R104">
        <v>20</v>
      </c>
      <c r="S104">
        <v>35140</v>
      </c>
      <c r="T104">
        <v>33031.599999999999</v>
      </c>
      <c r="U104">
        <v>15461.599999999999</v>
      </c>
      <c r="V104" t="str">
        <v>Oct</v>
      </c>
      <c r="W104">
        <v>2018</v>
      </c>
    </row>
    <row r="105" spans="1:23" x14ac:dyDescent="0.3">
      <c r="A105" t="s">
        <v>17</v>
      </c>
      <c r="B105" t="s">
        <v>40</v>
      </c>
      <c r="C105" t="s">
        <v>23</v>
      </c>
      <c r="D105" t="s">
        <v>27</v>
      </c>
      <c r="E105" s="1">
        <v>742.5</v>
      </c>
      <c r="F105" s="1">
        <v>125</v>
      </c>
      <c r="G105" s="1">
        <v>92812.5</v>
      </c>
      <c r="H105" s="1">
        <v>90956.25</v>
      </c>
      <c r="I105" s="1">
        <v>1856.25</v>
      </c>
      <c r="J105" t="s">
        <v>4</v>
      </c>
      <c r="K105">
        <v>2019</v>
      </c>
      <c r="M105" t="str">
        <v>Midmarket</v>
      </c>
      <c r="N105" t="str">
        <v>Germany</v>
      </c>
      <c r="O105" t="str">
        <v>Paseo</v>
      </c>
      <c r="P105" t="str">
        <v>Medium</v>
      </c>
      <c r="Q105">
        <v>1743</v>
      </c>
      <c r="R105">
        <v>15</v>
      </c>
      <c r="S105">
        <v>26145</v>
      </c>
      <c r="T105">
        <v>24576.3</v>
      </c>
      <c r="U105">
        <v>7146.2999999999993</v>
      </c>
      <c r="V105" t="str">
        <v>Aug</v>
      </c>
      <c r="W105">
        <v>2019</v>
      </c>
    </row>
    <row r="106" spans="1:23" x14ac:dyDescent="0.3">
      <c r="A106" t="s">
        <v>3</v>
      </c>
      <c r="B106" t="s">
        <v>40</v>
      </c>
      <c r="C106" t="s">
        <v>23</v>
      </c>
      <c r="D106" t="s">
        <v>27</v>
      </c>
      <c r="E106" s="1">
        <v>1295</v>
      </c>
      <c r="F106" s="1">
        <v>12</v>
      </c>
      <c r="G106" s="1">
        <v>15540</v>
      </c>
      <c r="H106" s="1">
        <v>15229.2</v>
      </c>
      <c r="I106" s="1">
        <v>11344.2</v>
      </c>
      <c r="J106" t="s">
        <v>10</v>
      </c>
      <c r="K106">
        <v>2019</v>
      </c>
      <c r="M106" t="str">
        <v>Government</v>
      </c>
      <c r="N106" t="str">
        <v>Germany</v>
      </c>
      <c r="O106" t="str">
        <v>Velo</v>
      </c>
      <c r="P106" t="str">
        <v>Medium</v>
      </c>
      <c r="Q106">
        <v>1001</v>
      </c>
      <c r="R106">
        <v>20</v>
      </c>
      <c r="S106">
        <v>20020</v>
      </c>
      <c r="T106">
        <v>18818.8</v>
      </c>
      <c r="U106">
        <v>8808.7999999999993</v>
      </c>
      <c r="V106" t="str">
        <v>Aug</v>
      </c>
      <c r="W106">
        <v>2019</v>
      </c>
    </row>
    <row r="107" spans="1:23" x14ac:dyDescent="0.3">
      <c r="A107" t="s">
        <v>12</v>
      </c>
      <c r="B107" t="s">
        <v>41</v>
      </c>
      <c r="C107" t="s">
        <v>23</v>
      </c>
      <c r="D107" t="s">
        <v>27</v>
      </c>
      <c r="E107" s="1">
        <v>214</v>
      </c>
      <c r="F107" s="1">
        <v>300</v>
      </c>
      <c r="G107" s="1">
        <v>64200</v>
      </c>
      <c r="H107" s="1">
        <v>62916</v>
      </c>
      <c r="I107" s="1">
        <v>9416</v>
      </c>
      <c r="J107" t="s">
        <v>10</v>
      </c>
      <c r="K107">
        <v>2018</v>
      </c>
      <c r="M107" t="str">
        <v>Channel Partners</v>
      </c>
      <c r="N107" t="str">
        <v>Mexico</v>
      </c>
      <c r="O107" t="str">
        <v>Montana</v>
      </c>
      <c r="P107" t="str">
        <v>Medium</v>
      </c>
      <c r="Q107">
        <v>2340</v>
      </c>
      <c r="R107">
        <v>12</v>
      </c>
      <c r="S107">
        <v>28080</v>
      </c>
      <c r="T107">
        <v>26114.400000000001</v>
      </c>
      <c r="U107">
        <v>19094.400000000001</v>
      </c>
      <c r="V107" t="str">
        <v>Jan</v>
      </c>
      <c r="W107">
        <v>2019</v>
      </c>
    </row>
    <row r="108" spans="1:23" x14ac:dyDescent="0.3">
      <c r="A108" t="s">
        <v>6</v>
      </c>
      <c r="B108" t="s">
        <v>14</v>
      </c>
      <c r="C108" t="s">
        <v>23</v>
      </c>
      <c r="D108" t="s">
        <v>27</v>
      </c>
      <c r="E108" s="1">
        <v>2145</v>
      </c>
      <c r="F108" s="1">
        <v>7</v>
      </c>
      <c r="G108" s="1">
        <v>15015</v>
      </c>
      <c r="H108" s="1">
        <v>14714.7</v>
      </c>
      <c r="I108" s="1">
        <v>3989.7000000000007</v>
      </c>
      <c r="J108" t="s">
        <v>16</v>
      </c>
      <c r="K108">
        <v>2018</v>
      </c>
      <c r="M108" t="str">
        <v>Channel Partners</v>
      </c>
      <c r="N108" t="str">
        <v>France</v>
      </c>
      <c r="O108" t="str">
        <v>Montana</v>
      </c>
      <c r="P108" t="str">
        <v>Medium</v>
      </c>
      <c r="Q108">
        <v>2342</v>
      </c>
      <c r="R108">
        <v>12</v>
      </c>
      <c r="S108">
        <v>28104</v>
      </c>
      <c r="T108">
        <v>26136.720000000001</v>
      </c>
      <c r="U108">
        <v>19110.72</v>
      </c>
      <c r="V108" t="str">
        <v>Nov</v>
      </c>
      <c r="W108">
        <v>2019</v>
      </c>
    </row>
    <row r="109" spans="1:23" x14ac:dyDescent="0.3">
      <c r="A109" t="s">
        <v>6</v>
      </c>
      <c r="B109" t="s">
        <v>40</v>
      </c>
      <c r="C109" t="s">
        <v>23</v>
      </c>
      <c r="D109" t="s">
        <v>27</v>
      </c>
      <c r="E109" s="1">
        <v>2852</v>
      </c>
      <c r="F109" s="1">
        <v>350</v>
      </c>
      <c r="G109" s="1">
        <v>998200</v>
      </c>
      <c r="H109" s="1">
        <v>978236</v>
      </c>
      <c r="I109" s="1">
        <v>236716</v>
      </c>
      <c r="J109" t="s">
        <v>15</v>
      </c>
      <c r="K109">
        <v>2019</v>
      </c>
      <c r="M109" t="str">
        <v>Channel Partners</v>
      </c>
      <c r="N109" t="str">
        <v>Germany</v>
      </c>
      <c r="O109" t="str">
        <v>VTT</v>
      </c>
      <c r="P109" t="str">
        <v>Medium</v>
      </c>
      <c r="Q109">
        <v>2215</v>
      </c>
      <c r="R109">
        <v>12</v>
      </c>
      <c r="S109">
        <v>26580</v>
      </c>
      <c r="T109">
        <v>24719.4</v>
      </c>
      <c r="U109">
        <v>18074.400000000001</v>
      </c>
      <c r="V109" t="str">
        <v>Sep</v>
      </c>
      <c r="W109">
        <v>2018</v>
      </c>
    </row>
    <row r="110" spans="1:23" x14ac:dyDescent="0.3">
      <c r="A110" t="s">
        <v>3</v>
      </c>
      <c r="B110" t="s">
        <v>42</v>
      </c>
      <c r="C110" t="s">
        <v>8</v>
      </c>
      <c r="D110" t="s">
        <v>27</v>
      </c>
      <c r="E110" s="1">
        <v>1142</v>
      </c>
      <c r="F110" s="1">
        <v>12</v>
      </c>
      <c r="G110" s="1">
        <v>13704</v>
      </c>
      <c r="H110" s="1">
        <v>13429.92</v>
      </c>
      <c r="I110" s="1">
        <v>10003.92</v>
      </c>
      <c r="J110" t="s">
        <v>25</v>
      </c>
      <c r="K110">
        <v>2019</v>
      </c>
      <c r="M110" t="str">
        <v>Government</v>
      </c>
      <c r="N110" t="str">
        <v>France</v>
      </c>
      <c r="O110" t="str">
        <v>Montana</v>
      </c>
      <c r="P110" t="str">
        <v>Medium</v>
      </c>
      <c r="Q110">
        <v>1976</v>
      </c>
      <c r="R110">
        <v>20</v>
      </c>
      <c r="S110">
        <v>39520</v>
      </c>
      <c r="T110">
        <v>36753.599999999999</v>
      </c>
      <c r="U110">
        <v>16993.599999999999</v>
      </c>
      <c r="V110" t="str">
        <v>Oct</v>
      </c>
      <c r="W110">
        <v>2019</v>
      </c>
    </row>
    <row r="111" spans="1:23" x14ac:dyDescent="0.3">
      <c r="A111" t="s">
        <v>6</v>
      </c>
      <c r="B111" t="s">
        <v>42</v>
      </c>
      <c r="C111" t="s">
        <v>8</v>
      </c>
      <c r="D111" t="s">
        <v>27</v>
      </c>
      <c r="E111" s="1">
        <v>1566</v>
      </c>
      <c r="F111" s="1">
        <v>20</v>
      </c>
      <c r="G111" s="1">
        <v>31320</v>
      </c>
      <c r="H111" s="1">
        <v>30693.599999999999</v>
      </c>
      <c r="I111" s="1">
        <v>15033.599999999999</v>
      </c>
      <c r="J111" t="s">
        <v>10</v>
      </c>
      <c r="K111">
        <v>2019</v>
      </c>
      <c r="M111" t="str">
        <v>Small Business</v>
      </c>
      <c r="N111" t="str">
        <v>France</v>
      </c>
      <c r="O111" t="str">
        <v>Montana</v>
      </c>
      <c r="P111" t="str">
        <v>Medium</v>
      </c>
      <c r="Q111">
        <v>2181</v>
      </c>
      <c r="R111">
        <v>300</v>
      </c>
      <c r="S111">
        <v>654300</v>
      </c>
      <c r="T111">
        <v>608499</v>
      </c>
      <c r="U111">
        <v>63249</v>
      </c>
      <c r="V111" t="str">
        <v>Oct</v>
      </c>
      <c r="W111">
        <v>2019</v>
      </c>
    </row>
    <row r="112" spans="1:23" x14ac:dyDescent="0.3">
      <c r="A112" t="s">
        <v>3</v>
      </c>
      <c r="B112" t="s">
        <v>9</v>
      </c>
      <c r="C112" t="s">
        <v>8</v>
      </c>
      <c r="D112" t="s">
        <v>27</v>
      </c>
      <c r="E112" s="1">
        <v>690</v>
      </c>
      <c r="F112" s="1">
        <v>12</v>
      </c>
      <c r="G112" s="1">
        <v>8280</v>
      </c>
      <c r="H112" s="1">
        <v>8114.4</v>
      </c>
      <c r="I112" s="1">
        <v>6044.4</v>
      </c>
      <c r="J112" t="s">
        <v>16</v>
      </c>
      <c r="K112">
        <v>2019</v>
      </c>
      <c r="M112" t="str">
        <v>Enterprise</v>
      </c>
      <c r="N112" t="str">
        <v>Germany</v>
      </c>
      <c r="O112" t="str">
        <v>Montana</v>
      </c>
      <c r="P112" t="str">
        <v>Medium</v>
      </c>
      <c r="Q112">
        <v>2500</v>
      </c>
      <c r="R112">
        <v>125</v>
      </c>
      <c r="S112">
        <v>312500</v>
      </c>
      <c r="T112">
        <v>290625</v>
      </c>
      <c r="U112">
        <v>-9375</v>
      </c>
      <c r="V112" t="str">
        <v>Nov</v>
      </c>
      <c r="W112">
        <v>2018</v>
      </c>
    </row>
    <row r="113" spans="1:23" x14ac:dyDescent="0.3">
      <c r="A113" t="s">
        <v>17</v>
      </c>
      <c r="B113" t="s">
        <v>9</v>
      </c>
      <c r="C113" t="s">
        <v>8</v>
      </c>
      <c r="D113" t="s">
        <v>27</v>
      </c>
      <c r="E113" s="1">
        <v>1660</v>
      </c>
      <c r="F113" s="1">
        <v>125</v>
      </c>
      <c r="G113" s="1">
        <v>207500</v>
      </c>
      <c r="H113" s="1">
        <v>203350</v>
      </c>
      <c r="I113" s="1">
        <v>4150</v>
      </c>
      <c r="J113" t="s">
        <v>16</v>
      </c>
      <c r="K113">
        <v>2018</v>
      </c>
      <c r="M113" t="str">
        <v>Enterprise</v>
      </c>
      <c r="N113" t="str">
        <v>Germany</v>
      </c>
      <c r="O113" t="str">
        <v>Paseo</v>
      </c>
      <c r="P113" t="str">
        <v>Medium</v>
      </c>
      <c r="Q113">
        <v>3513</v>
      </c>
      <c r="R113">
        <v>125</v>
      </c>
      <c r="S113">
        <v>439125</v>
      </c>
      <c r="T113">
        <v>408386.25</v>
      </c>
      <c r="U113">
        <v>-13173.75</v>
      </c>
      <c r="V113" t="str">
        <v>Jul</v>
      </c>
      <c r="W113">
        <v>2019</v>
      </c>
    </row>
    <row r="114" spans="1:23" x14ac:dyDescent="0.3">
      <c r="A114" t="s">
        <v>18</v>
      </c>
      <c r="B114" t="s">
        <v>40</v>
      </c>
      <c r="C114" t="s">
        <v>5</v>
      </c>
      <c r="D114" t="s">
        <v>27</v>
      </c>
      <c r="E114" s="1">
        <v>2363</v>
      </c>
      <c r="F114" s="1">
        <v>15</v>
      </c>
      <c r="G114" s="1">
        <v>35445</v>
      </c>
      <c r="H114" s="1">
        <v>34736.1</v>
      </c>
      <c r="I114" s="1">
        <v>11106.099999999999</v>
      </c>
      <c r="J114" t="s">
        <v>7</v>
      </c>
      <c r="K114">
        <v>2019</v>
      </c>
      <c r="M114" t="str">
        <v>Small Business</v>
      </c>
      <c r="N114" t="str">
        <v>Germany</v>
      </c>
      <c r="O114" t="str">
        <v>Paseo</v>
      </c>
      <c r="P114" t="str">
        <v>Medium</v>
      </c>
      <c r="Q114">
        <v>1123</v>
      </c>
      <c r="R114">
        <v>300</v>
      </c>
      <c r="S114">
        <v>336900</v>
      </c>
      <c r="T114">
        <v>313317</v>
      </c>
      <c r="U114">
        <v>32567</v>
      </c>
      <c r="V114" t="str">
        <v>Sep</v>
      </c>
      <c r="W114">
        <v>2018</v>
      </c>
    </row>
    <row r="115" spans="1:23" x14ac:dyDescent="0.3">
      <c r="A115" t="s">
        <v>12</v>
      </c>
      <c r="B115" t="s">
        <v>14</v>
      </c>
      <c r="C115" t="s">
        <v>5</v>
      </c>
      <c r="D115" t="s">
        <v>27</v>
      </c>
      <c r="E115" s="1">
        <v>918</v>
      </c>
      <c r="F115" s="1">
        <v>300</v>
      </c>
      <c r="G115" s="1">
        <v>275400</v>
      </c>
      <c r="H115" s="1">
        <v>269892</v>
      </c>
      <c r="I115" s="1">
        <v>40392</v>
      </c>
      <c r="J115" t="s">
        <v>0</v>
      </c>
      <c r="K115">
        <v>2019</v>
      </c>
      <c r="M115" t="str">
        <v>Government</v>
      </c>
      <c r="N115" t="str">
        <v>Germany</v>
      </c>
      <c r="O115" t="str">
        <v>Paseo</v>
      </c>
      <c r="P115" t="str">
        <v>Medium</v>
      </c>
      <c r="Q115">
        <v>2125</v>
      </c>
      <c r="R115">
        <v>7</v>
      </c>
      <c r="S115">
        <v>14875</v>
      </c>
      <c r="T115">
        <v>13833.75</v>
      </c>
      <c r="U115">
        <v>3208.75</v>
      </c>
      <c r="V115" t="str">
        <v>Dec</v>
      </c>
      <c r="W115">
        <v>2018</v>
      </c>
    </row>
    <row r="116" spans="1:23" x14ac:dyDescent="0.3">
      <c r="A116" t="s">
        <v>12</v>
      </c>
      <c r="B116" t="s">
        <v>41</v>
      </c>
      <c r="C116" t="s">
        <v>5</v>
      </c>
      <c r="D116" t="s">
        <v>27</v>
      </c>
      <c r="E116" s="1">
        <v>1728</v>
      </c>
      <c r="F116" s="1">
        <v>300</v>
      </c>
      <c r="G116" s="1">
        <v>518400</v>
      </c>
      <c r="H116" s="1">
        <v>508032</v>
      </c>
      <c r="I116" s="1">
        <v>76032</v>
      </c>
      <c r="J116" t="s">
        <v>0</v>
      </c>
      <c r="K116">
        <v>2019</v>
      </c>
      <c r="M116" t="str">
        <v>Enterprise</v>
      </c>
      <c r="N116" t="str">
        <v>Germany</v>
      </c>
      <c r="O116" t="str">
        <v>Velo</v>
      </c>
      <c r="P116" t="str">
        <v>Medium</v>
      </c>
      <c r="Q116">
        <v>2087</v>
      </c>
      <c r="R116">
        <v>125</v>
      </c>
      <c r="S116">
        <v>260875</v>
      </c>
      <c r="T116">
        <v>242613.75</v>
      </c>
      <c r="U116">
        <v>-7826.25</v>
      </c>
      <c r="V116" t="str">
        <v>Sep</v>
      </c>
      <c r="W116">
        <v>2019</v>
      </c>
    </row>
    <row r="117" spans="1:23" x14ac:dyDescent="0.3">
      <c r="A117" t="s">
        <v>3</v>
      </c>
      <c r="B117" t="s">
        <v>42</v>
      </c>
      <c r="C117" t="s">
        <v>5</v>
      </c>
      <c r="D117" t="s">
        <v>27</v>
      </c>
      <c r="E117" s="1">
        <v>1142</v>
      </c>
      <c r="F117" s="1">
        <v>12</v>
      </c>
      <c r="G117" s="1">
        <v>13704</v>
      </c>
      <c r="H117" s="1">
        <v>13429.92</v>
      </c>
      <c r="I117" s="1">
        <v>10003.92</v>
      </c>
      <c r="J117" t="s">
        <v>25</v>
      </c>
      <c r="K117">
        <v>2019</v>
      </c>
      <c r="M117" t="str">
        <v>Government</v>
      </c>
      <c r="N117" t="str">
        <v>Germany</v>
      </c>
      <c r="O117" t="str">
        <v>Velo</v>
      </c>
      <c r="P117" t="str">
        <v>Medium</v>
      </c>
      <c r="Q117">
        <v>588</v>
      </c>
      <c r="R117">
        <v>20</v>
      </c>
      <c r="S117">
        <v>11760</v>
      </c>
      <c r="T117">
        <v>10936.8</v>
      </c>
      <c r="U117">
        <v>5056.7999999999993</v>
      </c>
      <c r="V117" t="str">
        <v>Dec</v>
      </c>
      <c r="W117">
        <v>2018</v>
      </c>
    </row>
    <row r="118" spans="1:23" x14ac:dyDescent="0.3">
      <c r="A118" t="s">
        <v>17</v>
      </c>
      <c r="B118" t="s">
        <v>9</v>
      </c>
      <c r="C118" t="s">
        <v>5</v>
      </c>
      <c r="D118" t="s">
        <v>27</v>
      </c>
      <c r="E118" s="1">
        <v>662</v>
      </c>
      <c r="F118" s="1">
        <v>125</v>
      </c>
      <c r="G118" s="1">
        <v>82750</v>
      </c>
      <c r="H118" s="1">
        <v>81095</v>
      </c>
      <c r="I118" s="1">
        <v>1655</v>
      </c>
      <c r="J118" t="s">
        <v>25</v>
      </c>
      <c r="K118">
        <v>2019</v>
      </c>
      <c r="M118" t="str">
        <v>Enterprise</v>
      </c>
      <c r="N118" t="str">
        <v>Germany</v>
      </c>
      <c r="O118" t="str">
        <v>Amarilla</v>
      </c>
      <c r="P118" t="str">
        <v>Medium</v>
      </c>
      <c r="Q118">
        <v>994</v>
      </c>
      <c r="R118">
        <v>125</v>
      </c>
      <c r="S118">
        <v>124250</v>
      </c>
      <c r="T118">
        <v>115552.5</v>
      </c>
      <c r="U118">
        <v>-3727.5</v>
      </c>
      <c r="V118" t="str">
        <v>Sep</v>
      </c>
      <c r="W118">
        <v>2018</v>
      </c>
    </row>
    <row r="119" spans="1:23" x14ac:dyDescent="0.3">
      <c r="A119" t="s">
        <v>3</v>
      </c>
      <c r="B119" t="s">
        <v>40</v>
      </c>
      <c r="C119" t="s">
        <v>5</v>
      </c>
      <c r="D119" t="s">
        <v>27</v>
      </c>
      <c r="E119" s="1">
        <v>1295</v>
      </c>
      <c r="F119" s="1">
        <v>12</v>
      </c>
      <c r="G119" s="1">
        <v>15540</v>
      </c>
      <c r="H119" s="1">
        <v>15229.2</v>
      </c>
      <c r="I119" s="1">
        <v>11344.2</v>
      </c>
      <c r="J119" t="s">
        <v>10</v>
      </c>
      <c r="K119">
        <v>2019</v>
      </c>
      <c r="M119" t="str">
        <v>Government</v>
      </c>
      <c r="N119" t="str">
        <v>Canada</v>
      </c>
      <c r="O119" t="str">
        <v>Montana</v>
      </c>
      <c r="P119" t="str">
        <v>Medium</v>
      </c>
      <c r="Q119">
        <v>488</v>
      </c>
      <c r="R119">
        <v>7</v>
      </c>
      <c r="S119">
        <v>3416</v>
      </c>
      <c r="T119">
        <v>3142.7200000000003</v>
      </c>
      <c r="U119">
        <v>702.72000000000025</v>
      </c>
      <c r="V119" t="str">
        <v>Feb</v>
      </c>
      <c r="W119">
        <v>2019</v>
      </c>
    </row>
    <row r="120" spans="1:23" x14ac:dyDescent="0.3">
      <c r="A120" t="s">
        <v>17</v>
      </c>
      <c r="B120" t="s">
        <v>41</v>
      </c>
      <c r="C120" t="s">
        <v>5</v>
      </c>
      <c r="D120" t="s">
        <v>27</v>
      </c>
      <c r="E120" s="1">
        <v>809</v>
      </c>
      <c r="F120" s="1">
        <v>125</v>
      </c>
      <c r="G120" s="1">
        <v>101125</v>
      </c>
      <c r="H120" s="1">
        <v>99102.5</v>
      </c>
      <c r="I120" s="1">
        <v>2022.5</v>
      </c>
      <c r="J120" t="s">
        <v>10</v>
      </c>
      <c r="K120">
        <v>2018</v>
      </c>
      <c r="M120" t="str">
        <v>Government</v>
      </c>
      <c r="N120" t="str">
        <v>Usa</v>
      </c>
      <c r="O120" t="str">
        <v>Montana</v>
      </c>
      <c r="P120" t="str">
        <v>Medium</v>
      </c>
      <c r="Q120">
        <v>1282</v>
      </c>
      <c r="R120">
        <v>20</v>
      </c>
      <c r="S120">
        <v>25640</v>
      </c>
      <c r="T120">
        <v>23588.799999999999</v>
      </c>
      <c r="U120">
        <v>10768.8</v>
      </c>
      <c r="V120" t="str">
        <v>Jun</v>
      </c>
      <c r="W120">
        <v>2019</v>
      </c>
    </row>
    <row r="121" spans="1:23" x14ac:dyDescent="0.3">
      <c r="A121" t="s">
        <v>17</v>
      </c>
      <c r="B121" t="s">
        <v>9</v>
      </c>
      <c r="C121" t="s">
        <v>5</v>
      </c>
      <c r="D121" t="s">
        <v>27</v>
      </c>
      <c r="E121" s="1">
        <v>2145</v>
      </c>
      <c r="F121" s="1">
        <v>125</v>
      </c>
      <c r="G121" s="1">
        <v>268125</v>
      </c>
      <c r="H121" s="1">
        <v>262762.5</v>
      </c>
      <c r="I121" s="1">
        <v>5362.5</v>
      </c>
      <c r="J121" t="s">
        <v>10</v>
      </c>
      <c r="K121">
        <v>2018</v>
      </c>
      <c r="M121" t="str">
        <v>Midmarket</v>
      </c>
      <c r="N121" t="str">
        <v>France</v>
      </c>
      <c r="O121" t="str">
        <v>Montana</v>
      </c>
      <c r="P121" t="str">
        <v>Medium</v>
      </c>
      <c r="Q121">
        <v>2501</v>
      </c>
      <c r="R121">
        <v>15</v>
      </c>
      <c r="S121">
        <v>37515</v>
      </c>
      <c r="T121">
        <v>34513.800000000003</v>
      </c>
      <c r="U121">
        <v>9503.8000000000029</v>
      </c>
      <c r="V121" t="str">
        <v>Mar</v>
      </c>
      <c r="W121">
        <v>2019</v>
      </c>
    </row>
    <row r="122" spans="1:23" x14ac:dyDescent="0.3">
      <c r="A122" t="s">
        <v>3</v>
      </c>
      <c r="B122" t="s">
        <v>14</v>
      </c>
      <c r="C122" t="s">
        <v>5</v>
      </c>
      <c r="D122" t="s">
        <v>27</v>
      </c>
      <c r="E122" s="1">
        <v>1785</v>
      </c>
      <c r="F122" s="1">
        <v>12</v>
      </c>
      <c r="G122" s="1">
        <v>21420</v>
      </c>
      <c r="H122" s="1">
        <v>20991.599999999999</v>
      </c>
      <c r="I122" s="1">
        <v>15636.599999999999</v>
      </c>
      <c r="J122" t="s">
        <v>16</v>
      </c>
      <c r="K122">
        <v>2018</v>
      </c>
      <c r="M122" t="str">
        <v>Government</v>
      </c>
      <c r="N122" t="str">
        <v>Canada</v>
      </c>
      <c r="O122" t="str">
        <v>Montana</v>
      </c>
      <c r="P122" t="str">
        <v>Medium</v>
      </c>
      <c r="Q122">
        <v>708</v>
      </c>
      <c r="R122">
        <v>20</v>
      </c>
      <c r="S122">
        <v>14160</v>
      </c>
      <c r="T122">
        <v>13027.2</v>
      </c>
      <c r="U122">
        <v>5947.2000000000007</v>
      </c>
      <c r="V122" t="str">
        <v>Jun</v>
      </c>
      <c r="W122">
        <v>2019</v>
      </c>
    </row>
    <row r="123" spans="1:23" x14ac:dyDescent="0.3">
      <c r="A123" t="s">
        <v>12</v>
      </c>
      <c r="B123" t="s">
        <v>40</v>
      </c>
      <c r="C123" t="s">
        <v>5</v>
      </c>
      <c r="D123" t="s">
        <v>27</v>
      </c>
      <c r="E123" s="1">
        <v>1916</v>
      </c>
      <c r="F123" s="1">
        <v>300</v>
      </c>
      <c r="G123" s="1">
        <v>574800</v>
      </c>
      <c r="H123" s="1">
        <v>563304</v>
      </c>
      <c r="I123" s="1">
        <v>84304</v>
      </c>
      <c r="J123" t="s">
        <v>15</v>
      </c>
      <c r="K123">
        <v>2019</v>
      </c>
      <c r="M123" t="str">
        <v>Government</v>
      </c>
      <c r="N123" t="str">
        <v>Germany</v>
      </c>
      <c r="O123" t="str">
        <v>Montana</v>
      </c>
      <c r="P123" t="str">
        <v>Medium</v>
      </c>
      <c r="Q123">
        <v>645</v>
      </c>
      <c r="R123">
        <v>20</v>
      </c>
      <c r="S123">
        <v>12900</v>
      </c>
      <c r="T123">
        <v>11868</v>
      </c>
      <c r="U123">
        <v>5418</v>
      </c>
      <c r="V123" t="str">
        <v>Jul</v>
      </c>
      <c r="W123">
        <v>2019</v>
      </c>
    </row>
    <row r="124" spans="1:23" x14ac:dyDescent="0.3">
      <c r="A124" t="s">
        <v>6</v>
      </c>
      <c r="B124" t="s">
        <v>40</v>
      </c>
      <c r="C124" t="s">
        <v>5</v>
      </c>
      <c r="D124" t="s">
        <v>27</v>
      </c>
      <c r="E124" s="1">
        <v>2852</v>
      </c>
      <c r="F124" s="1">
        <v>350</v>
      </c>
      <c r="G124" s="1">
        <v>998200</v>
      </c>
      <c r="H124" s="1">
        <v>978236</v>
      </c>
      <c r="I124" s="1">
        <v>236716</v>
      </c>
      <c r="J124" t="s">
        <v>15</v>
      </c>
      <c r="K124">
        <v>2019</v>
      </c>
      <c r="M124" t="str">
        <v>Small Business</v>
      </c>
      <c r="N124" t="str">
        <v>France</v>
      </c>
      <c r="O124" t="str">
        <v>Montana</v>
      </c>
      <c r="P124" t="str">
        <v>Medium</v>
      </c>
      <c r="Q124">
        <v>1562</v>
      </c>
      <c r="R124">
        <v>300</v>
      </c>
      <c r="S124">
        <v>468600</v>
      </c>
      <c r="T124">
        <v>431112</v>
      </c>
      <c r="U124">
        <v>40612</v>
      </c>
      <c r="V124" t="str">
        <v>Aug</v>
      </c>
      <c r="W124">
        <v>2019</v>
      </c>
    </row>
    <row r="125" spans="1:23" x14ac:dyDescent="0.3">
      <c r="A125" t="s">
        <v>17</v>
      </c>
      <c r="B125" t="s">
        <v>40</v>
      </c>
      <c r="C125" t="s">
        <v>5</v>
      </c>
      <c r="D125" t="s">
        <v>27</v>
      </c>
      <c r="E125" s="1">
        <v>2729</v>
      </c>
      <c r="F125" s="1">
        <v>125</v>
      </c>
      <c r="G125" s="1">
        <v>341125</v>
      </c>
      <c r="H125" s="1">
        <v>334302.5</v>
      </c>
      <c r="I125" s="1">
        <v>6822.5</v>
      </c>
      <c r="J125" t="s">
        <v>15</v>
      </c>
      <c r="K125">
        <v>2019</v>
      </c>
      <c r="M125" t="str">
        <v>Small Business</v>
      </c>
      <c r="N125" t="str">
        <v>Canada</v>
      </c>
      <c r="O125" t="str">
        <v>Montana</v>
      </c>
      <c r="P125" t="str">
        <v>Medium</v>
      </c>
      <c r="Q125">
        <v>1283</v>
      </c>
      <c r="R125">
        <v>300</v>
      </c>
      <c r="S125">
        <v>384900</v>
      </c>
      <c r="T125">
        <v>354108</v>
      </c>
      <c r="U125">
        <v>33358</v>
      </c>
      <c r="V125" t="str">
        <v>Sep</v>
      </c>
      <c r="W125">
        <v>2018</v>
      </c>
    </row>
    <row r="126" spans="1:23" x14ac:dyDescent="0.3">
      <c r="A126" t="s">
        <v>18</v>
      </c>
      <c r="B126" t="s">
        <v>42</v>
      </c>
      <c r="C126" t="s">
        <v>5</v>
      </c>
      <c r="D126" t="s">
        <v>27</v>
      </c>
      <c r="E126" s="1">
        <v>1925</v>
      </c>
      <c r="F126" s="1">
        <v>15</v>
      </c>
      <c r="G126" s="1">
        <v>28875</v>
      </c>
      <c r="H126" s="1">
        <v>28297.5</v>
      </c>
      <c r="I126" s="1">
        <v>9047.5</v>
      </c>
      <c r="J126" t="s">
        <v>15</v>
      </c>
      <c r="K126">
        <v>2018</v>
      </c>
      <c r="M126" t="str">
        <v>Midmarket</v>
      </c>
      <c r="N126" t="str">
        <v>Germany</v>
      </c>
      <c r="O126" t="str">
        <v>Montana</v>
      </c>
      <c r="P126" t="str">
        <v>Medium</v>
      </c>
      <c r="Q126">
        <v>711</v>
      </c>
      <c r="R126">
        <v>15</v>
      </c>
      <c r="S126">
        <v>10665</v>
      </c>
      <c r="T126">
        <v>9811.7999999999993</v>
      </c>
      <c r="U126">
        <v>2701.7999999999993</v>
      </c>
      <c r="V126" t="str">
        <v>Dec</v>
      </c>
      <c r="W126">
        <v>2019</v>
      </c>
    </row>
    <row r="127" spans="1:23" x14ac:dyDescent="0.3">
      <c r="A127" t="s">
        <v>6</v>
      </c>
      <c r="B127" t="s">
        <v>42</v>
      </c>
      <c r="C127" t="s">
        <v>5</v>
      </c>
      <c r="D127" t="s">
        <v>27</v>
      </c>
      <c r="E127" s="1">
        <v>2013</v>
      </c>
      <c r="F127" s="1">
        <v>7</v>
      </c>
      <c r="G127" s="1">
        <v>14091</v>
      </c>
      <c r="H127" s="1">
        <v>13809.18</v>
      </c>
      <c r="I127" s="1">
        <v>3744.1800000000003</v>
      </c>
      <c r="J127" t="s">
        <v>15</v>
      </c>
      <c r="K127">
        <v>2018</v>
      </c>
      <c r="M127" t="str">
        <v>Government</v>
      </c>
      <c r="N127" t="str">
        <v>Germany</v>
      </c>
      <c r="O127" t="str">
        <v>Paseo</v>
      </c>
      <c r="P127" t="str">
        <v>Medium</v>
      </c>
      <c r="Q127">
        <v>1259</v>
      </c>
      <c r="R127">
        <v>7</v>
      </c>
      <c r="S127">
        <v>8813</v>
      </c>
      <c r="T127">
        <v>8107.96</v>
      </c>
      <c r="U127">
        <v>1812.96</v>
      </c>
      <c r="V127" t="str">
        <v>Apr</v>
      </c>
      <c r="W127">
        <v>2019</v>
      </c>
    </row>
    <row r="128" spans="1:23" x14ac:dyDescent="0.3">
      <c r="A128" t="s">
        <v>3</v>
      </c>
      <c r="B128" t="s">
        <v>14</v>
      </c>
      <c r="C128" t="s">
        <v>5</v>
      </c>
      <c r="D128" t="s">
        <v>27</v>
      </c>
      <c r="E128" s="1">
        <v>1055</v>
      </c>
      <c r="F128" s="1">
        <v>12</v>
      </c>
      <c r="G128" s="1">
        <v>12660</v>
      </c>
      <c r="H128" s="1">
        <v>12406.8</v>
      </c>
      <c r="I128" s="1">
        <v>9241.7999999999993</v>
      </c>
      <c r="J128" t="s">
        <v>15</v>
      </c>
      <c r="K128">
        <v>2019</v>
      </c>
      <c r="M128" t="str">
        <v>Government</v>
      </c>
      <c r="N128" t="str">
        <v>Germany</v>
      </c>
      <c r="O128" t="str">
        <v>Paseo</v>
      </c>
      <c r="P128" t="str">
        <v>Medium</v>
      </c>
      <c r="Q128">
        <v>1095</v>
      </c>
      <c r="R128">
        <v>7</v>
      </c>
      <c r="S128">
        <v>7665</v>
      </c>
      <c r="T128">
        <v>7051.8</v>
      </c>
      <c r="U128">
        <v>1576.8000000000002</v>
      </c>
      <c r="V128" t="str">
        <v>May</v>
      </c>
      <c r="W128">
        <v>2019</v>
      </c>
    </row>
    <row r="129" spans="1:23" x14ac:dyDescent="0.3">
      <c r="A129" t="s">
        <v>3</v>
      </c>
      <c r="B129" t="s">
        <v>9</v>
      </c>
      <c r="C129" t="s">
        <v>5</v>
      </c>
      <c r="D129" t="s">
        <v>27</v>
      </c>
      <c r="E129" s="1">
        <v>1084</v>
      </c>
      <c r="F129" s="1">
        <v>12</v>
      </c>
      <c r="G129" s="1">
        <v>13008</v>
      </c>
      <c r="H129" s="1">
        <v>12747.84</v>
      </c>
      <c r="I129" s="1">
        <v>9495.84</v>
      </c>
      <c r="J129" t="s">
        <v>15</v>
      </c>
      <c r="K129">
        <v>2019</v>
      </c>
      <c r="M129" t="str">
        <v>Government</v>
      </c>
      <c r="N129" t="str">
        <v>Germany</v>
      </c>
      <c r="O129" t="str">
        <v>Paseo</v>
      </c>
      <c r="P129" t="str">
        <v>Medium</v>
      </c>
      <c r="Q129">
        <v>1366</v>
      </c>
      <c r="R129">
        <v>20</v>
      </c>
      <c r="S129">
        <v>27320</v>
      </c>
      <c r="T129">
        <v>25134.400000000001</v>
      </c>
      <c r="U129">
        <v>11474.400000000001</v>
      </c>
      <c r="V129" t="str">
        <v>Jun</v>
      </c>
      <c r="W129">
        <v>2019</v>
      </c>
    </row>
    <row r="130" spans="1:23" x14ac:dyDescent="0.3">
      <c r="A130" t="s">
        <v>6</v>
      </c>
      <c r="B130" t="s">
        <v>42</v>
      </c>
      <c r="C130" t="s">
        <v>20</v>
      </c>
      <c r="D130" t="s">
        <v>27</v>
      </c>
      <c r="E130" s="1">
        <v>1566</v>
      </c>
      <c r="F130" s="1">
        <v>20</v>
      </c>
      <c r="G130" s="1">
        <v>31320</v>
      </c>
      <c r="H130" s="1">
        <v>30693.599999999999</v>
      </c>
      <c r="I130" s="1">
        <v>15033.599999999999</v>
      </c>
      <c r="J130" t="s">
        <v>10</v>
      </c>
      <c r="K130">
        <v>2019</v>
      </c>
      <c r="M130" t="str">
        <v>Government</v>
      </c>
      <c r="N130" t="str">
        <v>Germany</v>
      </c>
      <c r="O130" t="str">
        <v>Paseo</v>
      </c>
      <c r="P130" t="str">
        <v>Medium</v>
      </c>
      <c r="Q130">
        <v>1598</v>
      </c>
      <c r="R130">
        <v>7</v>
      </c>
      <c r="S130">
        <v>11186</v>
      </c>
      <c r="T130">
        <v>10291.120000000001</v>
      </c>
      <c r="U130">
        <v>2301.1200000000008</v>
      </c>
      <c r="V130" t="str">
        <v>Aug</v>
      </c>
      <c r="W130">
        <v>2019</v>
      </c>
    </row>
    <row r="131" spans="1:23" x14ac:dyDescent="0.3">
      <c r="A131" t="s">
        <v>6</v>
      </c>
      <c r="B131" t="s">
        <v>41</v>
      </c>
      <c r="C131" t="s">
        <v>20</v>
      </c>
      <c r="D131" t="s">
        <v>27</v>
      </c>
      <c r="E131" s="1">
        <v>2966</v>
      </c>
      <c r="F131" s="1">
        <v>350</v>
      </c>
      <c r="G131" s="1">
        <v>1038100</v>
      </c>
      <c r="H131" s="1">
        <v>1017338</v>
      </c>
      <c r="I131" s="1">
        <v>246178</v>
      </c>
      <c r="J131" t="s">
        <v>10</v>
      </c>
      <c r="K131">
        <v>2018</v>
      </c>
      <c r="M131" t="str">
        <v>Government</v>
      </c>
      <c r="N131" t="str">
        <v>Germany</v>
      </c>
      <c r="O131" t="str">
        <v>Paseo</v>
      </c>
      <c r="P131" t="str">
        <v>Medium</v>
      </c>
      <c r="Q131">
        <v>2409</v>
      </c>
      <c r="R131">
        <v>7</v>
      </c>
      <c r="S131">
        <v>16863</v>
      </c>
      <c r="T131">
        <v>15513.96</v>
      </c>
      <c r="U131">
        <v>3468.9599999999991</v>
      </c>
      <c r="V131" t="str">
        <v>Sep</v>
      </c>
      <c r="W131">
        <v>2018</v>
      </c>
    </row>
    <row r="132" spans="1:23" x14ac:dyDescent="0.3">
      <c r="A132" t="s">
        <v>6</v>
      </c>
      <c r="B132" t="s">
        <v>41</v>
      </c>
      <c r="C132" t="s">
        <v>20</v>
      </c>
      <c r="D132" t="s">
        <v>27</v>
      </c>
      <c r="E132" s="1">
        <v>2877</v>
      </c>
      <c r="F132" s="1">
        <v>350</v>
      </c>
      <c r="G132" s="1">
        <v>1006950</v>
      </c>
      <c r="H132" s="1">
        <v>986811</v>
      </c>
      <c r="I132" s="1">
        <v>238791</v>
      </c>
      <c r="J132" t="s">
        <v>10</v>
      </c>
      <c r="K132">
        <v>2019</v>
      </c>
      <c r="M132" t="str">
        <v>Government</v>
      </c>
      <c r="N132" t="str">
        <v>Germany</v>
      </c>
      <c r="O132" t="str">
        <v>Paseo</v>
      </c>
      <c r="P132" t="str">
        <v>Medium</v>
      </c>
      <c r="Q132">
        <v>1934</v>
      </c>
      <c r="R132">
        <v>20</v>
      </c>
      <c r="S132">
        <v>38680</v>
      </c>
      <c r="T132">
        <v>35585.599999999999</v>
      </c>
      <c r="U132">
        <v>16245.599999999999</v>
      </c>
      <c r="V132" t="str">
        <v>Sep</v>
      </c>
      <c r="W132">
        <v>2019</v>
      </c>
    </row>
    <row r="133" spans="1:23" x14ac:dyDescent="0.3">
      <c r="A133" t="s">
        <v>17</v>
      </c>
      <c r="B133" t="s">
        <v>41</v>
      </c>
      <c r="C133" t="s">
        <v>20</v>
      </c>
      <c r="D133" t="s">
        <v>27</v>
      </c>
      <c r="E133" s="1">
        <v>809</v>
      </c>
      <c r="F133" s="1">
        <v>125</v>
      </c>
      <c r="G133" s="1">
        <v>101125</v>
      </c>
      <c r="H133" s="1">
        <v>99102.5</v>
      </c>
      <c r="I133" s="1">
        <v>2022.5</v>
      </c>
      <c r="J133" t="s">
        <v>10</v>
      </c>
      <c r="K133">
        <v>2018</v>
      </c>
      <c r="M133" t="str">
        <v>Government</v>
      </c>
      <c r="N133" t="str">
        <v>Germany</v>
      </c>
      <c r="O133" t="str">
        <v>Paseo</v>
      </c>
      <c r="P133" t="str">
        <v>Medium</v>
      </c>
      <c r="Q133">
        <v>2146</v>
      </c>
      <c r="R133">
        <v>350</v>
      </c>
      <c r="S133">
        <v>751100</v>
      </c>
      <c r="T133">
        <v>691012</v>
      </c>
      <c r="U133">
        <v>133052</v>
      </c>
      <c r="V133" t="str">
        <v>Nov</v>
      </c>
      <c r="W133">
        <v>2018</v>
      </c>
    </row>
    <row r="134" spans="1:23" x14ac:dyDescent="0.3">
      <c r="A134" t="s">
        <v>17</v>
      </c>
      <c r="B134" t="s">
        <v>9</v>
      </c>
      <c r="C134" t="s">
        <v>20</v>
      </c>
      <c r="D134" t="s">
        <v>27</v>
      </c>
      <c r="E134" s="1">
        <v>2145</v>
      </c>
      <c r="F134" s="1">
        <v>125</v>
      </c>
      <c r="G134" s="1">
        <v>268125</v>
      </c>
      <c r="H134" s="1">
        <v>262762.5</v>
      </c>
      <c r="I134" s="1">
        <v>5362.5</v>
      </c>
      <c r="J134" t="s">
        <v>10</v>
      </c>
      <c r="K134">
        <v>2018</v>
      </c>
      <c r="M134" t="str">
        <v>Government</v>
      </c>
      <c r="N134" t="str">
        <v>Germany</v>
      </c>
      <c r="O134" t="str">
        <v>Velo</v>
      </c>
      <c r="P134" t="str">
        <v>Medium</v>
      </c>
      <c r="Q134">
        <v>2338</v>
      </c>
      <c r="R134">
        <v>7</v>
      </c>
      <c r="S134">
        <v>16366</v>
      </c>
      <c r="T134">
        <v>15056.72</v>
      </c>
      <c r="U134">
        <v>3366.7199999999993</v>
      </c>
      <c r="V134" t="str">
        <v>Jun</v>
      </c>
      <c r="W134">
        <v>2019</v>
      </c>
    </row>
    <row r="135" spans="1:23" x14ac:dyDescent="0.3">
      <c r="A135" t="s">
        <v>3</v>
      </c>
      <c r="B135" t="s">
        <v>14</v>
      </c>
      <c r="C135" t="s">
        <v>20</v>
      </c>
      <c r="D135" t="s">
        <v>27</v>
      </c>
      <c r="E135" s="1">
        <v>1055</v>
      </c>
      <c r="F135" s="1">
        <v>12</v>
      </c>
      <c r="G135" s="1">
        <v>12660</v>
      </c>
      <c r="H135" s="1">
        <v>12406.8</v>
      </c>
      <c r="I135" s="1">
        <v>9241.7999999999993</v>
      </c>
      <c r="J135" t="s">
        <v>15</v>
      </c>
      <c r="K135">
        <v>2019</v>
      </c>
      <c r="M135" t="str">
        <v>Government</v>
      </c>
      <c r="N135" t="str">
        <v>Germany</v>
      </c>
      <c r="O135" t="str">
        <v>VTT</v>
      </c>
      <c r="P135" t="str">
        <v>Medium</v>
      </c>
      <c r="Q135">
        <v>2338</v>
      </c>
      <c r="R135">
        <v>7</v>
      </c>
      <c r="S135">
        <v>16366</v>
      </c>
      <c r="T135">
        <v>15056.72</v>
      </c>
      <c r="U135">
        <v>3366.7199999999993</v>
      </c>
      <c r="V135" t="str">
        <v>Jun</v>
      </c>
      <c r="W135">
        <v>2019</v>
      </c>
    </row>
    <row r="136" spans="1:23" x14ac:dyDescent="0.3">
      <c r="A136" t="s">
        <v>6</v>
      </c>
      <c r="B136" t="s">
        <v>9</v>
      </c>
      <c r="C136" t="s">
        <v>20</v>
      </c>
      <c r="D136" t="s">
        <v>27</v>
      </c>
      <c r="E136" s="1">
        <v>544</v>
      </c>
      <c r="F136" s="1">
        <v>20</v>
      </c>
      <c r="G136" s="1">
        <v>10880</v>
      </c>
      <c r="H136" s="1">
        <v>10662.4</v>
      </c>
      <c r="I136" s="1">
        <v>5222.3999999999996</v>
      </c>
      <c r="J136" t="s">
        <v>15</v>
      </c>
      <c r="K136">
        <v>2018</v>
      </c>
      <c r="M136" t="str">
        <v>Government</v>
      </c>
      <c r="N136" t="str">
        <v>Germany</v>
      </c>
      <c r="O136" t="str">
        <v>VTT</v>
      </c>
      <c r="P136" t="str">
        <v>Medium</v>
      </c>
      <c r="Q136">
        <v>422</v>
      </c>
      <c r="R136">
        <v>350</v>
      </c>
      <c r="S136">
        <v>147700</v>
      </c>
      <c r="T136">
        <v>135884</v>
      </c>
      <c r="U136">
        <v>26164</v>
      </c>
      <c r="V136" t="str">
        <v>Aug</v>
      </c>
      <c r="W136">
        <v>2019</v>
      </c>
    </row>
    <row r="137" spans="1:23" x14ac:dyDescent="0.3">
      <c r="A137" t="s">
        <v>3</v>
      </c>
      <c r="B137" t="s">
        <v>9</v>
      </c>
      <c r="C137" t="s">
        <v>20</v>
      </c>
      <c r="D137" t="s">
        <v>27</v>
      </c>
      <c r="E137" s="1">
        <v>1084</v>
      </c>
      <c r="F137" s="1">
        <v>12</v>
      </c>
      <c r="G137" s="1">
        <v>13008</v>
      </c>
      <c r="H137" s="1">
        <v>12747.84</v>
      </c>
      <c r="I137" s="1">
        <v>9495.84</v>
      </c>
      <c r="J137" t="s">
        <v>15</v>
      </c>
      <c r="K137">
        <v>2019</v>
      </c>
      <c r="M137" t="str">
        <v>Government</v>
      </c>
      <c r="N137" t="str">
        <v>Germany</v>
      </c>
      <c r="O137" t="str">
        <v>Amarilla</v>
      </c>
      <c r="P137" t="str">
        <v>Medium</v>
      </c>
      <c r="Q137">
        <v>1366</v>
      </c>
      <c r="R137">
        <v>20</v>
      </c>
      <c r="S137">
        <v>27320</v>
      </c>
      <c r="T137">
        <v>25134.400000000001</v>
      </c>
      <c r="U137">
        <v>11474.400000000001</v>
      </c>
      <c r="V137" t="str">
        <v>Jun</v>
      </c>
      <c r="W137">
        <v>2019</v>
      </c>
    </row>
    <row r="138" spans="1:23" x14ac:dyDescent="0.3">
      <c r="A138" t="s">
        <v>17</v>
      </c>
      <c r="B138" t="s">
        <v>9</v>
      </c>
      <c r="C138" t="s">
        <v>2</v>
      </c>
      <c r="D138" t="s">
        <v>27</v>
      </c>
      <c r="E138" s="1">
        <v>662</v>
      </c>
      <c r="F138" s="1">
        <v>125</v>
      </c>
      <c r="G138" s="1">
        <v>82750</v>
      </c>
      <c r="H138" s="1">
        <v>81095</v>
      </c>
      <c r="I138" s="1">
        <v>1655</v>
      </c>
      <c r="J138" t="s">
        <v>25</v>
      </c>
      <c r="K138">
        <v>2019</v>
      </c>
      <c r="M138" t="str">
        <v>Government</v>
      </c>
      <c r="N138" t="str">
        <v>Germany</v>
      </c>
      <c r="O138" t="str">
        <v>Amarilla</v>
      </c>
      <c r="P138" t="str">
        <v>Medium</v>
      </c>
      <c r="Q138">
        <v>1520</v>
      </c>
      <c r="R138">
        <v>20</v>
      </c>
      <c r="S138">
        <v>30400</v>
      </c>
      <c r="T138">
        <v>27968</v>
      </c>
      <c r="U138">
        <v>12768</v>
      </c>
      <c r="V138" t="str">
        <v>Nov</v>
      </c>
      <c r="W138">
        <v>2019</v>
      </c>
    </row>
    <row r="139" spans="1:23" x14ac:dyDescent="0.3">
      <c r="A139" t="s">
        <v>12</v>
      </c>
      <c r="B139" t="s">
        <v>41</v>
      </c>
      <c r="C139" t="s">
        <v>2</v>
      </c>
      <c r="D139" t="s">
        <v>27</v>
      </c>
      <c r="E139" s="1">
        <v>214</v>
      </c>
      <c r="F139" s="1">
        <v>300</v>
      </c>
      <c r="G139" s="1">
        <v>64200</v>
      </c>
      <c r="H139" s="1">
        <v>62916</v>
      </c>
      <c r="I139" s="1">
        <v>9416</v>
      </c>
      <c r="J139" t="s">
        <v>10</v>
      </c>
      <c r="K139">
        <v>2018</v>
      </c>
      <c r="M139" t="str">
        <v>Midmarket</v>
      </c>
      <c r="N139" t="str">
        <v>Germany</v>
      </c>
      <c r="O139" t="str">
        <v>Amarilla</v>
      </c>
      <c r="P139" t="str">
        <v>Medium</v>
      </c>
      <c r="Q139">
        <v>711</v>
      </c>
      <c r="R139">
        <v>15</v>
      </c>
      <c r="S139">
        <v>10665</v>
      </c>
      <c r="T139">
        <v>9811.7999999999993</v>
      </c>
      <c r="U139">
        <v>2701.7999999999993</v>
      </c>
      <c r="V139" t="str">
        <v>Dec</v>
      </c>
      <c r="W139">
        <v>2019</v>
      </c>
    </row>
    <row r="140" spans="1:23" x14ac:dyDescent="0.3">
      <c r="A140" t="s">
        <v>6</v>
      </c>
      <c r="B140" t="s">
        <v>41</v>
      </c>
      <c r="C140" t="s">
        <v>2</v>
      </c>
      <c r="D140" t="s">
        <v>27</v>
      </c>
      <c r="E140" s="1">
        <v>2877</v>
      </c>
      <c r="F140" s="1">
        <v>350</v>
      </c>
      <c r="G140" s="1">
        <v>1006950</v>
      </c>
      <c r="H140" s="1">
        <v>986811</v>
      </c>
      <c r="I140" s="1">
        <v>238791</v>
      </c>
      <c r="J140" t="s">
        <v>10</v>
      </c>
      <c r="K140">
        <v>2019</v>
      </c>
      <c r="M140" t="str">
        <v>Small Business</v>
      </c>
      <c r="N140" t="str">
        <v>Canada</v>
      </c>
      <c r="O140" t="str">
        <v>Montana</v>
      </c>
      <c r="P140" t="str">
        <v>Medium</v>
      </c>
      <c r="Q140">
        <v>3802.5</v>
      </c>
      <c r="R140">
        <v>300</v>
      </c>
      <c r="S140">
        <v>1140750</v>
      </c>
      <c r="T140">
        <v>1038082.5</v>
      </c>
      <c r="U140">
        <v>87457.5</v>
      </c>
      <c r="V140" t="str">
        <v>Apr</v>
      </c>
      <c r="W140">
        <v>2019</v>
      </c>
    </row>
    <row r="141" spans="1:23" x14ac:dyDescent="0.3">
      <c r="A141" t="s">
        <v>17</v>
      </c>
      <c r="B141" t="s">
        <v>40</v>
      </c>
      <c r="C141" t="s">
        <v>2</v>
      </c>
      <c r="D141" t="s">
        <v>27</v>
      </c>
      <c r="E141" s="1">
        <v>2729</v>
      </c>
      <c r="F141" s="1">
        <v>125</v>
      </c>
      <c r="G141" s="1">
        <v>341125</v>
      </c>
      <c r="H141" s="1">
        <v>334302.5</v>
      </c>
      <c r="I141" s="1">
        <v>6822.5</v>
      </c>
      <c r="J141" t="s">
        <v>15</v>
      </c>
      <c r="K141">
        <v>2019</v>
      </c>
      <c r="M141" t="str">
        <v>Government</v>
      </c>
      <c r="N141" t="str">
        <v>France</v>
      </c>
      <c r="O141" t="str">
        <v>Montana</v>
      </c>
      <c r="P141" t="str">
        <v>Medium</v>
      </c>
      <c r="Q141">
        <v>1666</v>
      </c>
      <c r="R141">
        <v>350</v>
      </c>
      <c r="S141">
        <v>583100</v>
      </c>
      <c r="T141">
        <v>530621</v>
      </c>
      <c r="U141">
        <v>97461</v>
      </c>
      <c r="V141" t="str">
        <v>May</v>
      </c>
      <c r="W141">
        <v>2019</v>
      </c>
    </row>
    <row r="142" spans="1:23" x14ac:dyDescent="0.3">
      <c r="A142" t="s">
        <v>6</v>
      </c>
      <c r="B142" t="s">
        <v>42</v>
      </c>
      <c r="C142" t="s">
        <v>2</v>
      </c>
      <c r="D142" t="s">
        <v>27</v>
      </c>
      <c r="E142" s="1">
        <v>266</v>
      </c>
      <c r="F142" s="1">
        <v>350</v>
      </c>
      <c r="G142" s="1">
        <v>93100</v>
      </c>
      <c r="H142" s="1">
        <v>91238</v>
      </c>
      <c r="I142" s="1">
        <v>22078</v>
      </c>
      <c r="J142" t="s">
        <v>15</v>
      </c>
      <c r="K142">
        <v>2018</v>
      </c>
      <c r="M142" t="str">
        <v>Small Business</v>
      </c>
      <c r="N142" t="str">
        <v>France</v>
      </c>
      <c r="O142" t="str">
        <v>Montana</v>
      </c>
      <c r="P142" t="str">
        <v>Medium</v>
      </c>
      <c r="Q142">
        <v>322</v>
      </c>
      <c r="R142">
        <v>300</v>
      </c>
      <c r="S142">
        <v>96600</v>
      </c>
      <c r="T142">
        <v>87906</v>
      </c>
      <c r="U142">
        <v>7406</v>
      </c>
      <c r="V142" t="str">
        <v>Sep</v>
      </c>
      <c r="W142">
        <v>2018</v>
      </c>
    </row>
    <row r="143" spans="1:23" x14ac:dyDescent="0.3">
      <c r="A143" t="s">
        <v>6</v>
      </c>
      <c r="B143" t="s">
        <v>9</v>
      </c>
      <c r="C143" t="s">
        <v>2</v>
      </c>
      <c r="D143" t="s">
        <v>27</v>
      </c>
      <c r="E143" s="1">
        <v>1940</v>
      </c>
      <c r="F143" s="1">
        <v>350</v>
      </c>
      <c r="G143" s="1">
        <v>679000</v>
      </c>
      <c r="H143" s="1">
        <v>665420</v>
      </c>
      <c r="I143" s="1">
        <v>161020</v>
      </c>
      <c r="J143" t="s">
        <v>15</v>
      </c>
      <c r="K143">
        <v>2018</v>
      </c>
      <c r="M143" t="str">
        <v>Channel Partners</v>
      </c>
      <c r="N143" t="str">
        <v>Canada</v>
      </c>
      <c r="O143" t="str">
        <v>Montana</v>
      </c>
      <c r="P143" t="str">
        <v>Medium</v>
      </c>
      <c r="Q143">
        <v>2321</v>
      </c>
      <c r="R143">
        <v>12</v>
      </c>
      <c r="S143">
        <v>27852</v>
      </c>
      <c r="T143">
        <v>25345.32</v>
      </c>
      <c r="U143">
        <v>18382.32</v>
      </c>
      <c r="V143" t="str">
        <v>Nov</v>
      </c>
      <c r="W143">
        <v>2019</v>
      </c>
    </row>
    <row r="144" spans="1:23" x14ac:dyDescent="0.3">
      <c r="A144" t="s">
        <v>12</v>
      </c>
      <c r="B144" t="s">
        <v>41</v>
      </c>
      <c r="C144" t="s">
        <v>11</v>
      </c>
      <c r="D144" t="s">
        <v>27</v>
      </c>
      <c r="E144" s="1">
        <v>259</v>
      </c>
      <c r="F144" s="1">
        <v>300</v>
      </c>
      <c r="G144" s="1">
        <v>77700</v>
      </c>
      <c r="H144" s="1">
        <v>76146</v>
      </c>
      <c r="I144" s="1">
        <v>11396</v>
      </c>
      <c r="J144" t="s">
        <v>13</v>
      </c>
      <c r="K144">
        <v>2019</v>
      </c>
      <c r="M144" t="str">
        <v>Enterprise</v>
      </c>
      <c r="N144" t="str">
        <v>France</v>
      </c>
      <c r="O144" t="str">
        <v>Montana</v>
      </c>
      <c r="P144" t="str">
        <v>Medium</v>
      </c>
      <c r="Q144">
        <v>1857</v>
      </c>
      <c r="R144">
        <v>125</v>
      </c>
      <c r="S144">
        <v>232125</v>
      </c>
      <c r="T144">
        <v>211233.75</v>
      </c>
      <c r="U144">
        <v>-11606.25</v>
      </c>
      <c r="V144" t="str">
        <v>Nov</v>
      </c>
      <c r="W144">
        <v>2018</v>
      </c>
    </row>
    <row r="145" spans="1:23" x14ac:dyDescent="0.3">
      <c r="A145" t="s">
        <v>12</v>
      </c>
      <c r="B145" t="s">
        <v>9</v>
      </c>
      <c r="C145" t="s">
        <v>11</v>
      </c>
      <c r="D145" t="s">
        <v>27</v>
      </c>
      <c r="E145" s="1">
        <v>1101</v>
      </c>
      <c r="F145" s="1">
        <v>300</v>
      </c>
      <c r="G145" s="1">
        <v>330300</v>
      </c>
      <c r="H145" s="1">
        <v>323694</v>
      </c>
      <c r="I145" s="1">
        <v>48444</v>
      </c>
      <c r="J145" t="s">
        <v>13</v>
      </c>
      <c r="K145">
        <v>2019</v>
      </c>
      <c r="M145" t="str">
        <v>Government</v>
      </c>
      <c r="N145" t="str">
        <v>Canada</v>
      </c>
      <c r="O145" t="str">
        <v>Montana</v>
      </c>
      <c r="P145" t="str">
        <v>Medium</v>
      </c>
      <c r="Q145">
        <v>1611</v>
      </c>
      <c r="R145">
        <v>7</v>
      </c>
      <c r="S145">
        <v>11277</v>
      </c>
      <c r="T145">
        <v>10262.07</v>
      </c>
      <c r="U145">
        <v>2207.0699999999997</v>
      </c>
      <c r="V145" t="str">
        <v>Dec</v>
      </c>
      <c r="W145">
        <v>2018</v>
      </c>
    </row>
    <row r="146" spans="1:23" x14ac:dyDescent="0.3">
      <c r="A146" t="s">
        <v>17</v>
      </c>
      <c r="B146" t="s">
        <v>41</v>
      </c>
      <c r="C146" t="s">
        <v>11</v>
      </c>
      <c r="D146" t="s">
        <v>27</v>
      </c>
      <c r="E146" s="1">
        <v>2276</v>
      </c>
      <c r="F146" s="1">
        <v>125</v>
      </c>
      <c r="G146" s="1">
        <v>284500</v>
      </c>
      <c r="H146" s="1">
        <v>278810</v>
      </c>
      <c r="I146" s="1">
        <v>5690</v>
      </c>
      <c r="J146" t="s">
        <v>0</v>
      </c>
      <c r="K146">
        <v>2019</v>
      </c>
      <c r="M146" t="str">
        <v>Enterprise</v>
      </c>
      <c r="N146" t="str">
        <v>Usa</v>
      </c>
      <c r="O146" t="str">
        <v>Montana</v>
      </c>
      <c r="P146" t="str">
        <v>Medium</v>
      </c>
      <c r="Q146">
        <v>2797</v>
      </c>
      <c r="R146">
        <v>125</v>
      </c>
      <c r="S146">
        <v>349625</v>
      </c>
      <c r="T146">
        <v>318158.75</v>
      </c>
      <c r="U146">
        <v>-17481.25</v>
      </c>
      <c r="V146" t="str">
        <v>Dec</v>
      </c>
      <c r="W146">
        <v>2019</v>
      </c>
    </row>
    <row r="147" spans="1:23" x14ac:dyDescent="0.3">
      <c r="A147" t="s">
        <v>6</v>
      </c>
      <c r="B147" t="s">
        <v>41</v>
      </c>
      <c r="C147" t="s">
        <v>11</v>
      </c>
      <c r="D147" t="s">
        <v>27</v>
      </c>
      <c r="E147" s="1">
        <v>2966</v>
      </c>
      <c r="F147" s="1">
        <v>350</v>
      </c>
      <c r="G147" s="1">
        <v>1038100</v>
      </c>
      <c r="H147" s="1">
        <v>1017338</v>
      </c>
      <c r="I147" s="1">
        <v>246178</v>
      </c>
      <c r="J147" t="s">
        <v>10</v>
      </c>
      <c r="K147">
        <v>2018</v>
      </c>
      <c r="M147" t="str">
        <v>Small Business</v>
      </c>
      <c r="N147" t="str">
        <v>Germany</v>
      </c>
      <c r="O147" t="str">
        <v>Montana</v>
      </c>
      <c r="P147" t="str">
        <v>Medium</v>
      </c>
      <c r="Q147">
        <v>334</v>
      </c>
      <c r="R147">
        <v>300</v>
      </c>
      <c r="S147">
        <v>100200</v>
      </c>
      <c r="T147">
        <v>91182</v>
      </c>
      <c r="U147">
        <v>7682</v>
      </c>
      <c r="V147" t="str">
        <v>Dec</v>
      </c>
      <c r="W147">
        <v>2018</v>
      </c>
    </row>
    <row r="148" spans="1:23" x14ac:dyDescent="0.3">
      <c r="A148" t="s">
        <v>6</v>
      </c>
      <c r="B148" t="s">
        <v>42</v>
      </c>
      <c r="C148" t="s">
        <v>11</v>
      </c>
      <c r="D148" t="s">
        <v>27</v>
      </c>
      <c r="E148" s="1">
        <v>1236</v>
      </c>
      <c r="F148" s="1">
        <v>20</v>
      </c>
      <c r="G148" s="1">
        <v>24720</v>
      </c>
      <c r="H148" s="1">
        <v>24225.599999999999</v>
      </c>
      <c r="I148" s="1">
        <v>11865.599999999999</v>
      </c>
      <c r="J148" t="s">
        <v>16</v>
      </c>
      <c r="K148">
        <v>2019</v>
      </c>
      <c r="M148" t="str">
        <v>Channel Partners</v>
      </c>
      <c r="N148" t="str">
        <v>Germany</v>
      </c>
      <c r="O148" t="str">
        <v>Paseo</v>
      </c>
      <c r="P148" t="str">
        <v>Medium</v>
      </c>
      <c r="Q148">
        <v>1775</v>
      </c>
      <c r="R148">
        <v>12</v>
      </c>
      <c r="S148">
        <v>21300</v>
      </c>
      <c r="T148">
        <v>19383</v>
      </c>
      <c r="U148">
        <v>14058</v>
      </c>
      <c r="V148" t="str">
        <v>Nov</v>
      </c>
      <c r="W148">
        <v>2018</v>
      </c>
    </row>
    <row r="149" spans="1:23" x14ac:dyDescent="0.3">
      <c r="A149" t="s">
        <v>6</v>
      </c>
      <c r="B149" t="s">
        <v>14</v>
      </c>
      <c r="C149" t="s">
        <v>11</v>
      </c>
      <c r="D149" t="s">
        <v>27</v>
      </c>
      <c r="E149" s="1">
        <v>941</v>
      </c>
      <c r="F149" s="1">
        <v>20</v>
      </c>
      <c r="G149" s="1">
        <v>18820</v>
      </c>
      <c r="H149" s="1">
        <v>18443.599999999999</v>
      </c>
      <c r="I149" s="1">
        <v>9033.5999999999985</v>
      </c>
      <c r="J149" t="s">
        <v>16</v>
      </c>
      <c r="K149">
        <v>2019</v>
      </c>
      <c r="M149" t="str">
        <v>Government</v>
      </c>
      <c r="N149" t="str">
        <v>Germany</v>
      </c>
      <c r="O149" t="str">
        <v>Velo</v>
      </c>
      <c r="P149" t="str">
        <v>Medium</v>
      </c>
      <c r="Q149">
        <v>1307</v>
      </c>
      <c r="R149">
        <v>350</v>
      </c>
      <c r="S149">
        <v>457450</v>
      </c>
      <c r="T149">
        <v>416279.5</v>
      </c>
      <c r="U149">
        <v>76459.5</v>
      </c>
      <c r="V149" t="str">
        <v>Jul</v>
      </c>
      <c r="W149">
        <v>2019</v>
      </c>
    </row>
    <row r="150" spans="1:23" x14ac:dyDescent="0.3">
      <c r="A150" t="s">
        <v>12</v>
      </c>
      <c r="B150" t="s">
        <v>40</v>
      </c>
      <c r="C150" t="s">
        <v>11</v>
      </c>
      <c r="D150" t="s">
        <v>27</v>
      </c>
      <c r="E150" s="1">
        <v>1916</v>
      </c>
      <c r="F150" s="1">
        <v>300</v>
      </c>
      <c r="G150" s="1">
        <v>574800</v>
      </c>
      <c r="H150" s="1">
        <v>563304</v>
      </c>
      <c r="I150" s="1">
        <v>84304</v>
      </c>
      <c r="J150" t="s">
        <v>15</v>
      </c>
      <c r="K150">
        <v>2019</v>
      </c>
      <c r="M150" t="str">
        <v>Small Business</v>
      </c>
      <c r="N150" t="str">
        <v>Germany</v>
      </c>
      <c r="O150" t="str">
        <v>VTT</v>
      </c>
      <c r="P150" t="str">
        <v>Medium</v>
      </c>
      <c r="Q150">
        <v>2659</v>
      </c>
      <c r="R150">
        <v>300</v>
      </c>
      <c r="S150">
        <v>797700</v>
      </c>
      <c r="T150">
        <v>725907</v>
      </c>
      <c r="U150">
        <v>61157</v>
      </c>
      <c r="V150" t="str">
        <v>Feb</v>
      </c>
      <c r="W150">
        <v>2019</v>
      </c>
    </row>
    <row r="151" spans="1:23" x14ac:dyDescent="0.3">
      <c r="A151" t="s">
        <v>17</v>
      </c>
      <c r="B151" t="s">
        <v>14</v>
      </c>
      <c r="C151" t="s">
        <v>23</v>
      </c>
      <c r="D151" t="s">
        <v>27</v>
      </c>
      <c r="E151" s="1">
        <v>4243.5</v>
      </c>
      <c r="F151" s="1">
        <v>125</v>
      </c>
      <c r="G151" s="1">
        <v>530437.5</v>
      </c>
      <c r="H151" s="1">
        <v>514524.375</v>
      </c>
      <c r="I151" s="1">
        <v>5304.375</v>
      </c>
      <c r="J151" t="s">
        <v>4</v>
      </c>
      <c r="K151">
        <v>2019</v>
      </c>
      <c r="M151" t="str">
        <v>Channel Partners</v>
      </c>
      <c r="N151" t="str">
        <v>Germany</v>
      </c>
      <c r="O151" t="str">
        <v>VTT</v>
      </c>
      <c r="P151" t="str">
        <v>Medium</v>
      </c>
      <c r="Q151">
        <v>880</v>
      </c>
      <c r="R151">
        <v>12</v>
      </c>
      <c r="S151">
        <v>10560</v>
      </c>
      <c r="T151">
        <v>9609.6</v>
      </c>
      <c r="U151">
        <v>6969.6</v>
      </c>
      <c r="V151" t="str">
        <v>May</v>
      </c>
      <c r="W151">
        <v>2019</v>
      </c>
    </row>
    <row r="152" spans="1:23" x14ac:dyDescent="0.3">
      <c r="A152" t="s">
        <v>6</v>
      </c>
      <c r="B152" t="s">
        <v>41</v>
      </c>
      <c r="C152" t="s">
        <v>23</v>
      </c>
      <c r="D152" t="s">
        <v>27</v>
      </c>
      <c r="E152" s="1">
        <v>2580</v>
      </c>
      <c r="F152" s="1">
        <v>20</v>
      </c>
      <c r="G152" s="1">
        <v>51600</v>
      </c>
      <c r="H152" s="1">
        <v>50052</v>
      </c>
      <c r="I152" s="1">
        <v>24252</v>
      </c>
      <c r="J152" t="s">
        <v>4</v>
      </c>
      <c r="K152">
        <v>2019</v>
      </c>
      <c r="M152" t="str">
        <v>Midmarket</v>
      </c>
      <c r="N152" t="str">
        <v>Germany</v>
      </c>
      <c r="O152" t="str">
        <v>Amarilla</v>
      </c>
      <c r="P152" t="str">
        <v>Medium</v>
      </c>
      <c r="Q152">
        <v>970</v>
      </c>
      <c r="R152">
        <v>15</v>
      </c>
      <c r="S152">
        <v>14550</v>
      </c>
      <c r="T152">
        <v>13240.5</v>
      </c>
      <c r="U152">
        <v>3540.5</v>
      </c>
      <c r="V152" t="str">
        <v>Nov</v>
      </c>
      <c r="W152">
        <v>2018</v>
      </c>
    </row>
    <row r="153" spans="1:23" x14ac:dyDescent="0.3">
      <c r="A153" t="s">
        <v>12</v>
      </c>
      <c r="B153" t="s">
        <v>41</v>
      </c>
      <c r="C153" t="s">
        <v>23</v>
      </c>
      <c r="D153" t="s">
        <v>27</v>
      </c>
      <c r="E153" s="1">
        <v>689</v>
      </c>
      <c r="F153" s="1">
        <v>300</v>
      </c>
      <c r="G153" s="1">
        <v>206700</v>
      </c>
      <c r="H153" s="1">
        <v>200499</v>
      </c>
      <c r="I153" s="1">
        <v>28249</v>
      </c>
      <c r="J153" t="s">
        <v>25</v>
      </c>
      <c r="K153">
        <v>2019</v>
      </c>
      <c r="M153" t="str">
        <v>Government</v>
      </c>
      <c r="N153" t="str">
        <v>Germany</v>
      </c>
      <c r="O153" t="str">
        <v>Carretera</v>
      </c>
      <c r="P153" t="str">
        <v>Medium</v>
      </c>
      <c r="Q153">
        <v>663</v>
      </c>
      <c r="R153">
        <v>20</v>
      </c>
      <c r="S153">
        <v>13260</v>
      </c>
      <c r="T153">
        <v>12066.6</v>
      </c>
      <c r="U153">
        <v>5436.6</v>
      </c>
      <c r="V153" t="str">
        <v>May</v>
      </c>
      <c r="W153">
        <v>2019</v>
      </c>
    </row>
    <row r="154" spans="1:23" x14ac:dyDescent="0.3">
      <c r="A154" t="s">
        <v>3</v>
      </c>
      <c r="B154" t="s">
        <v>42</v>
      </c>
      <c r="C154" t="s">
        <v>23</v>
      </c>
      <c r="D154" t="s">
        <v>27</v>
      </c>
      <c r="E154" s="1">
        <v>1947</v>
      </c>
      <c r="F154" s="1">
        <v>12</v>
      </c>
      <c r="G154" s="1">
        <v>23364</v>
      </c>
      <c r="H154" s="1">
        <v>22663.08</v>
      </c>
      <c r="I154" s="1">
        <v>16822.080000000002</v>
      </c>
      <c r="J154" t="s">
        <v>21</v>
      </c>
      <c r="K154">
        <v>2019</v>
      </c>
      <c r="M154" t="str">
        <v>Channel Partners</v>
      </c>
      <c r="N154" t="str">
        <v>Germany</v>
      </c>
      <c r="O154" t="str">
        <v>Carretera</v>
      </c>
      <c r="P154" t="str">
        <v>Medium</v>
      </c>
      <c r="Q154">
        <v>1580</v>
      </c>
      <c r="R154">
        <v>12</v>
      </c>
      <c r="S154">
        <v>18960</v>
      </c>
      <c r="T154">
        <v>17253.599999999999</v>
      </c>
      <c r="U154">
        <v>12513.599999999999</v>
      </c>
      <c r="V154" t="str">
        <v>Sep</v>
      </c>
      <c r="W154">
        <v>2019</v>
      </c>
    </row>
    <row r="155" spans="1:23" x14ac:dyDescent="0.3">
      <c r="A155" t="s">
        <v>3</v>
      </c>
      <c r="B155" t="s">
        <v>40</v>
      </c>
      <c r="C155" t="s">
        <v>23</v>
      </c>
      <c r="D155" t="s">
        <v>27</v>
      </c>
      <c r="E155" s="1">
        <v>908</v>
      </c>
      <c r="F155" s="1">
        <v>12</v>
      </c>
      <c r="G155" s="1">
        <v>10896</v>
      </c>
      <c r="H155" s="1">
        <v>10569.12</v>
      </c>
      <c r="I155" s="1">
        <v>7845.1200000000008</v>
      </c>
      <c r="J155" t="s">
        <v>15</v>
      </c>
      <c r="K155">
        <v>2018</v>
      </c>
      <c r="M155" t="str">
        <v>Government</v>
      </c>
      <c r="N155" t="str">
        <v>Germany</v>
      </c>
      <c r="O155" t="str">
        <v>Paseo</v>
      </c>
      <c r="P155" t="str">
        <v>Medium</v>
      </c>
      <c r="Q155">
        <v>360</v>
      </c>
      <c r="R155">
        <v>7</v>
      </c>
      <c r="S155">
        <v>2520</v>
      </c>
      <c r="T155">
        <v>2293.1999999999998</v>
      </c>
      <c r="U155">
        <v>493.19999999999982</v>
      </c>
      <c r="V155" t="str">
        <v>Oct</v>
      </c>
      <c r="W155">
        <v>2019</v>
      </c>
    </row>
    <row r="156" spans="1:23" x14ac:dyDescent="0.3">
      <c r="A156" t="s">
        <v>6</v>
      </c>
      <c r="B156" t="s">
        <v>41</v>
      </c>
      <c r="C156" t="s">
        <v>8</v>
      </c>
      <c r="D156" t="s">
        <v>27</v>
      </c>
      <c r="E156" s="1">
        <v>1958</v>
      </c>
      <c r="F156" s="1">
        <v>7</v>
      </c>
      <c r="G156" s="1">
        <v>13706</v>
      </c>
      <c r="H156" s="1">
        <v>13294.82</v>
      </c>
      <c r="I156" s="1">
        <v>3504.8199999999997</v>
      </c>
      <c r="J156" t="s">
        <v>7</v>
      </c>
      <c r="K156">
        <v>2019</v>
      </c>
      <c r="M156" t="str">
        <v>Government</v>
      </c>
      <c r="N156" t="str">
        <v>Germany</v>
      </c>
      <c r="O156" t="str">
        <v>VTT</v>
      </c>
      <c r="P156" t="str">
        <v>Medium</v>
      </c>
      <c r="Q156">
        <v>360</v>
      </c>
      <c r="R156">
        <v>7</v>
      </c>
      <c r="S156">
        <v>2520</v>
      </c>
      <c r="T156">
        <v>2293.1999999999998</v>
      </c>
      <c r="U156">
        <v>493.19999999999982</v>
      </c>
      <c r="V156" t="str">
        <v>Oct</v>
      </c>
      <c r="W156">
        <v>2019</v>
      </c>
    </row>
    <row r="157" spans="1:23" x14ac:dyDescent="0.3">
      <c r="A157" t="s">
        <v>3</v>
      </c>
      <c r="B157" t="s">
        <v>14</v>
      </c>
      <c r="C157" t="s">
        <v>8</v>
      </c>
      <c r="D157" t="s">
        <v>27</v>
      </c>
      <c r="E157" s="1">
        <v>1901</v>
      </c>
      <c r="F157" s="1">
        <v>12</v>
      </c>
      <c r="G157" s="1">
        <v>22812</v>
      </c>
      <c r="H157" s="1">
        <v>22127.64</v>
      </c>
      <c r="I157" s="1">
        <v>16424.64</v>
      </c>
      <c r="J157" t="s">
        <v>25</v>
      </c>
      <c r="K157">
        <v>2019</v>
      </c>
      <c r="M157" t="str">
        <v>Government</v>
      </c>
      <c r="N157" t="str">
        <v>Usa</v>
      </c>
      <c r="O157" t="str">
        <v>Montana</v>
      </c>
      <c r="P157" t="str">
        <v>High</v>
      </c>
      <c r="Q157">
        <v>2328</v>
      </c>
      <c r="R157">
        <v>7</v>
      </c>
      <c r="S157">
        <v>16296</v>
      </c>
      <c r="T157">
        <v>14666.4</v>
      </c>
      <c r="U157">
        <v>3026.3999999999996</v>
      </c>
      <c r="V157" t="str">
        <v>Sep</v>
      </c>
      <c r="W157">
        <v>2019</v>
      </c>
    </row>
    <row r="158" spans="1:23" x14ac:dyDescent="0.3">
      <c r="A158" t="s">
        <v>6</v>
      </c>
      <c r="B158" t="s">
        <v>14</v>
      </c>
      <c r="C158" t="s">
        <v>8</v>
      </c>
      <c r="D158" t="s">
        <v>27</v>
      </c>
      <c r="E158" s="1">
        <v>544</v>
      </c>
      <c r="F158" s="1">
        <v>7</v>
      </c>
      <c r="G158" s="1">
        <v>3808</v>
      </c>
      <c r="H158" s="1">
        <v>3693.76</v>
      </c>
      <c r="I158" s="1">
        <v>973.76000000000022</v>
      </c>
      <c r="J158" t="s">
        <v>21</v>
      </c>
      <c r="K158">
        <v>2019</v>
      </c>
      <c r="M158" t="str">
        <v>Government</v>
      </c>
      <c r="N158" t="str">
        <v>Usa</v>
      </c>
      <c r="O158" t="str">
        <v>Montana</v>
      </c>
      <c r="P158" t="str">
        <v>High</v>
      </c>
      <c r="Q158">
        <v>2313</v>
      </c>
      <c r="R158">
        <v>350</v>
      </c>
      <c r="S158">
        <v>809550</v>
      </c>
      <c r="T158">
        <v>728595</v>
      </c>
      <c r="U158">
        <v>127215</v>
      </c>
      <c r="V158" t="str">
        <v>May</v>
      </c>
      <c r="W158">
        <v>2019</v>
      </c>
    </row>
    <row r="159" spans="1:23" x14ac:dyDescent="0.3">
      <c r="A159" t="s">
        <v>6</v>
      </c>
      <c r="B159" t="s">
        <v>41</v>
      </c>
      <c r="C159" t="s">
        <v>8</v>
      </c>
      <c r="D159" t="s">
        <v>27</v>
      </c>
      <c r="E159" s="1">
        <v>1797</v>
      </c>
      <c r="F159" s="1">
        <v>350</v>
      </c>
      <c r="G159" s="1">
        <v>628950</v>
      </c>
      <c r="H159" s="1">
        <v>610081.5</v>
      </c>
      <c r="I159" s="1">
        <v>142861.5</v>
      </c>
      <c r="J159" t="s">
        <v>21</v>
      </c>
      <c r="K159">
        <v>2018</v>
      </c>
      <c r="M159" t="str">
        <v>Enterprise</v>
      </c>
      <c r="N159" t="str">
        <v>Usa</v>
      </c>
      <c r="O159" t="str">
        <v>Montana</v>
      </c>
      <c r="P159" t="str">
        <v>High</v>
      </c>
      <c r="Q159">
        <v>1804</v>
      </c>
      <c r="R159">
        <v>125</v>
      </c>
      <c r="S159">
        <v>225500</v>
      </c>
      <c r="T159">
        <v>202950</v>
      </c>
      <c r="U159">
        <v>-13530</v>
      </c>
      <c r="V159" t="str">
        <v>Nov</v>
      </c>
      <c r="W159">
        <v>2018</v>
      </c>
    </row>
    <row r="160" spans="1:23" x14ac:dyDescent="0.3">
      <c r="A160" t="s">
        <v>17</v>
      </c>
      <c r="B160" t="s">
        <v>14</v>
      </c>
      <c r="C160" t="s">
        <v>8</v>
      </c>
      <c r="D160" t="s">
        <v>27</v>
      </c>
      <c r="E160" s="1">
        <v>1287</v>
      </c>
      <c r="F160" s="1">
        <v>125</v>
      </c>
      <c r="G160" s="1">
        <v>160875</v>
      </c>
      <c r="H160" s="1">
        <v>156048.75</v>
      </c>
      <c r="I160" s="1">
        <v>1608.75</v>
      </c>
      <c r="J160" t="s">
        <v>15</v>
      </c>
      <c r="K160">
        <v>2019</v>
      </c>
      <c r="M160" t="str">
        <v>Midmarket</v>
      </c>
      <c r="N160" t="str">
        <v>France</v>
      </c>
      <c r="O160" t="str">
        <v>Montana</v>
      </c>
      <c r="P160" t="str">
        <v>High</v>
      </c>
      <c r="Q160">
        <v>2072</v>
      </c>
      <c r="R160">
        <v>15</v>
      </c>
      <c r="S160">
        <v>31080</v>
      </c>
      <c r="T160">
        <v>27972</v>
      </c>
      <c r="U160">
        <v>7252</v>
      </c>
      <c r="V160" t="str">
        <v>Dec</v>
      </c>
      <c r="W160">
        <v>2019</v>
      </c>
    </row>
    <row r="161" spans="1:23" x14ac:dyDescent="0.3">
      <c r="A161" t="s">
        <v>17</v>
      </c>
      <c r="B161" t="s">
        <v>41</v>
      </c>
      <c r="C161" t="s">
        <v>8</v>
      </c>
      <c r="D161" t="s">
        <v>27</v>
      </c>
      <c r="E161" s="1">
        <v>1706</v>
      </c>
      <c r="F161" s="1">
        <v>125</v>
      </c>
      <c r="G161" s="1">
        <v>213250</v>
      </c>
      <c r="H161" s="1">
        <v>206852.5</v>
      </c>
      <c r="I161" s="1">
        <v>2132.5</v>
      </c>
      <c r="J161" t="s">
        <v>15</v>
      </c>
      <c r="K161">
        <v>2019</v>
      </c>
      <c r="M161" t="str">
        <v>Government</v>
      </c>
      <c r="N161" t="str">
        <v>Germany</v>
      </c>
      <c r="O161" t="str">
        <v>Paseo</v>
      </c>
      <c r="P161" t="str">
        <v>High</v>
      </c>
      <c r="Q161">
        <v>241</v>
      </c>
      <c r="R161">
        <v>20</v>
      </c>
      <c r="S161">
        <v>4820</v>
      </c>
      <c r="T161">
        <v>4338</v>
      </c>
      <c r="U161">
        <v>1928</v>
      </c>
      <c r="V161" t="str">
        <v>Oct</v>
      </c>
      <c r="W161">
        <v>2019</v>
      </c>
    </row>
    <row r="162" spans="1:23" x14ac:dyDescent="0.3">
      <c r="A162" t="s">
        <v>12</v>
      </c>
      <c r="B162" t="s">
        <v>14</v>
      </c>
      <c r="C162" t="s">
        <v>5</v>
      </c>
      <c r="D162" t="s">
        <v>27</v>
      </c>
      <c r="E162" s="1">
        <v>2434.5</v>
      </c>
      <c r="F162" s="1">
        <v>300</v>
      </c>
      <c r="G162" s="1">
        <v>730350</v>
      </c>
      <c r="H162" s="1">
        <v>708439.5</v>
      </c>
      <c r="I162" s="1">
        <v>99814.5</v>
      </c>
      <c r="J162" t="s">
        <v>24</v>
      </c>
      <c r="K162">
        <v>2019</v>
      </c>
      <c r="M162" t="str">
        <v>Midmarket</v>
      </c>
      <c r="N162" t="str">
        <v>Germany</v>
      </c>
      <c r="O162" t="str">
        <v>Velo</v>
      </c>
      <c r="P162" t="str">
        <v>High</v>
      </c>
      <c r="Q162">
        <v>681</v>
      </c>
      <c r="R162">
        <v>15</v>
      </c>
      <c r="S162">
        <v>10215</v>
      </c>
      <c r="T162">
        <v>9193.5</v>
      </c>
      <c r="U162">
        <v>2383.5</v>
      </c>
      <c r="V162" t="str">
        <v>Jan</v>
      </c>
      <c r="W162">
        <v>2019</v>
      </c>
    </row>
    <row r="163" spans="1:23" x14ac:dyDescent="0.3">
      <c r="A163" t="s">
        <v>17</v>
      </c>
      <c r="B163" t="s">
        <v>40</v>
      </c>
      <c r="C163" t="s">
        <v>5</v>
      </c>
      <c r="D163" t="s">
        <v>27</v>
      </c>
      <c r="E163" s="1">
        <v>1774</v>
      </c>
      <c r="F163" s="1">
        <v>125</v>
      </c>
      <c r="G163" s="1">
        <v>221750</v>
      </c>
      <c r="H163" s="1">
        <v>215097.5</v>
      </c>
      <c r="I163" s="1">
        <v>2217.5</v>
      </c>
      <c r="J163" t="s">
        <v>13</v>
      </c>
      <c r="K163">
        <v>2019</v>
      </c>
      <c r="M163" t="str">
        <v>Midmarket</v>
      </c>
      <c r="N163" t="str">
        <v>Germany</v>
      </c>
      <c r="O163" t="str">
        <v>Velo</v>
      </c>
      <c r="P163" t="str">
        <v>High</v>
      </c>
      <c r="Q163">
        <v>510</v>
      </c>
      <c r="R163">
        <v>15</v>
      </c>
      <c r="S163">
        <v>7650</v>
      </c>
      <c r="T163">
        <v>6885</v>
      </c>
      <c r="U163">
        <v>1785</v>
      </c>
      <c r="V163" t="str">
        <v>Apr</v>
      </c>
      <c r="W163">
        <v>2019</v>
      </c>
    </row>
    <row r="164" spans="1:23" x14ac:dyDescent="0.3">
      <c r="A164" t="s">
        <v>3</v>
      </c>
      <c r="B164" t="s">
        <v>14</v>
      </c>
      <c r="C164" t="s">
        <v>5</v>
      </c>
      <c r="D164" t="s">
        <v>27</v>
      </c>
      <c r="E164" s="1">
        <v>1901</v>
      </c>
      <c r="F164" s="1">
        <v>12</v>
      </c>
      <c r="G164" s="1">
        <v>22812</v>
      </c>
      <c r="H164" s="1">
        <v>22127.64</v>
      </c>
      <c r="I164" s="1">
        <v>16424.64</v>
      </c>
      <c r="J164" t="s">
        <v>25</v>
      </c>
      <c r="K164">
        <v>2019</v>
      </c>
      <c r="M164" t="str">
        <v>Government</v>
      </c>
      <c r="N164" t="str">
        <v>Germany</v>
      </c>
      <c r="O164" t="str">
        <v>Velo</v>
      </c>
      <c r="P164" t="str">
        <v>High</v>
      </c>
      <c r="Q164">
        <v>241</v>
      </c>
      <c r="R164">
        <v>20</v>
      </c>
      <c r="S164">
        <v>4820</v>
      </c>
      <c r="T164">
        <v>4338</v>
      </c>
      <c r="U164">
        <v>1928</v>
      </c>
      <c r="V164" t="str">
        <v>Oct</v>
      </c>
      <c r="W164">
        <v>2019</v>
      </c>
    </row>
    <row r="165" spans="1:23" x14ac:dyDescent="0.3">
      <c r="A165" t="s">
        <v>12</v>
      </c>
      <c r="B165" t="s">
        <v>41</v>
      </c>
      <c r="C165" t="s">
        <v>5</v>
      </c>
      <c r="D165" t="s">
        <v>27</v>
      </c>
      <c r="E165" s="1">
        <v>689</v>
      </c>
      <c r="F165" s="1">
        <v>300</v>
      </c>
      <c r="G165" s="1">
        <v>206700</v>
      </c>
      <c r="H165" s="1">
        <v>200499</v>
      </c>
      <c r="I165" s="1">
        <v>28249</v>
      </c>
      <c r="J165" t="s">
        <v>25</v>
      </c>
      <c r="K165">
        <v>2019</v>
      </c>
      <c r="M165" t="str">
        <v>Government</v>
      </c>
      <c r="N165" t="str">
        <v>Germany</v>
      </c>
      <c r="O165" t="str">
        <v>Velo</v>
      </c>
      <c r="P165" t="str">
        <v>High</v>
      </c>
      <c r="Q165">
        <v>2665</v>
      </c>
      <c r="R165">
        <v>7</v>
      </c>
      <c r="S165">
        <v>18655</v>
      </c>
      <c r="T165">
        <v>16789.5</v>
      </c>
      <c r="U165">
        <v>3464.5</v>
      </c>
      <c r="V165" t="str">
        <v>Nov</v>
      </c>
      <c r="W165">
        <v>2019</v>
      </c>
    </row>
    <row r="166" spans="1:23" x14ac:dyDescent="0.3">
      <c r="A166" t="s">
        <v>17</v>
      </c>
      <c r="B166" t="s">
        <v>41</v>
      </c>
      <c r="C166" t="s">
        <v>5</v>
      </c>
      <c r="D166" t="s">
        <v>27</v>
      </c>
      <c r="E166" s="1">
        <v>1570</v>
      </c>
      <c r="F166" s="1">
        <v>125</v>
      </c>
      <c r="G166" s="1">
        <v>196250</v>
      </c>
      <c r="H166" s="1">
        <v>190362.5</v>
      </c>
      <c r="I166" s="1">
        <v>1962.5</v>
      </c>
      <c r="J166" t="s">
        <v>25</v>
      </c>
      <c r="K166">
        <v>2019</v>
      </c>
      <c r="M166" t="str">
        <v>Government</v>
      </c>
      <c r="N166" t="str">
        <v>Germany</v>
      </c>
      <c r="O166" t="str">
        <v>VTT</v>
      </c>
      <c r="P166" t="str">
        <v>High</v>
      </c>
      <c r="Q166">
        <v>1870</v>
      </c>
      <c r="R166">
        <v>350</v>
      </c>
      <c r="S166">
        <v>654500</v>
      </c>
      <c r="T166">
        <v>589050</v>
      </c>
      <c r="U166">
        <v>102850</v>
      </c>
      <c r="V166" t="str">
        <v>Dec</v>
      </c>
      <c r="W166">
        <v>2018</v>
      </c>
    </row>
    <row r="167" spans="1:23" x14ac:dyDescent="0.3">
      <c r="A167" t="s">
        <v>3</v>
      </c>
      <c r="B167" t="s">
        <v>42</v>
      </c>
      <c r="C167" t="s">
        <v>5</v>
      </c>
      <c r="D167" t="s">
        <v>27</v>
      </c>
      <c r="E167" s="1">
        <v>1369.5</v>
      </c>
      <c r="F167" s="1">
        <v>12</v>
      </c>
      <c r="G167" s="1">
        <v>16434</v>
      </c>
      <c r="H167" s="1">
        <v>15940.98</v>
      </c>
      <c r="I167" s="1">
        <v>11832.48</v>
      </c>
      <c r="J167" t="s">
        <v>19</v>
      </c>
      <c r="K167">
        <v>2019</v>
      </c>
      <c r="M167" t="str">
        <v>Channel Partners</v>
      </c>
      <c r="N167" t="str">
        <v>Germany</v>
      </c>
      <c r="O167" t="str">
        <v>Amarilla</v>
      </c>
      <c r="P167" t="str">
        <v>High</v>
      </c>
      <c r="Q167">
        <v>2574</v>
      </c>
      <c r="R167">
        <v>12</v>
      </c>
      <c r="S167">
        <v>30888</v>
      </c>
      <c r="T167">
        <v>27799.200000000001</v>
      </c>
      <c r="U167">
        <v>20077.2</v>
      </c>
      <c r="V167" t="str">
        <v>Aug</v>
      </c>
      <c r="W167">
        <v>2019</v>
      </c>
    </row>
    <row r="168" spans="1:23" x14ac:dyDescent="0.3">
      <c r="A168" t="s">
        <v>17</v>
      </c>
      <c r="B168" t="s">
        <v>40</v>
      </c>
      <c r="C168" t="s">
        <v>5</v>
      </c>
      <c r="D168" t="s">
        <v>27</v>
      </c>
      <c r="E168" s="1">
        <v>2009</v>
      </c>
      <c r="F168" s="1">
        <v>125</v>
      </c>
      <c r="G168" s="1">
        <v>251125</v>
      </c>
      <c r="H168" s="1">
        <v>243591.25</v>
      </c>
      <c r="I168" s="1">
        <v>2511.25</v>
      </c>
      <c r="J168" t="s">
        <v>10</v>
      </c>
      <c r="K168">
        <v>2019</v>
      </c>
      <c r="M168" t="str">
        <v>Channel Partners</v>
      </c>
      <c r="N168" t="str">
        <v>Germany</v>
      </c>
      <c r="O168" t="str">
        <v>Velo</v>
      </c>
      <c r="P168" t="str">
        <v>High</v>
      </c>
      <c r="Q168">
        <v>472</v>
      </c>
      <c r="R168">
        <v>12</v>
      </c>
      <c r="S168">
        <v>5664</v>
      </c>
      <c r="T168">
        <v>5040.96</v>
      </c>
      <c r="U168">
        <v>3624.96</v>
      </c>
      <c r="V168" t="str">
        <v>Oct</v>
      </c>
      <c r="W168">
        <v>2019</v>
      </c>
    </row>
    <row r="169" spans="1:23" x14ac:dyDescent="0.3">
      <c r="A169" t="s">
        <v>18</v>
      </c>
      <c r="B169" t="s">
        <v>41</v>
      </c>
      <c r="C169" t="s">
        <v>5</v>
      </c>
      <c r="D169" t="s">
        <v>27</v>
      </c>
      <c r="E169" s="1">
        <v>1945</v>
      </c>
      <c r="F169" s="1">
        <v>15</v>
      </c>
      <c r="G169" s="1">
        <v>29175</v>
      </c>
      <c r="H169" s="1">
        <v>28299.75</v>
      </c>
      <c r="I169" s="1">
        <v>8849.75</v>
      </c>
      <c r="J169" t="s">
        <v>10</v>
      </c>
      <c r="K169">
        <v>2018</v>
      </c>
      <c r="M169" t="str">
        <v>Channel Partners</v>
      </c>
      <c r="N169" t="str">
        <v>Germany</v>
      </c>
      <c r="O169" t="str">
        <v>Amarilla</v>
      </c>
      <c r="P169" t="str">
        <v>High</v>
      </c>
      <c r="Q169">
        <v>472</v>
      </c>
      <c r="R169">
        <v>12</v>
      </c>
      <c r="S169">
        <v>5664</v>
      </c>
      <c r="T169">
        <v>5040.96</v>
      </c>
      <c r="U169">
        <v>3624.96</v>
      </c>
      <c r="V169" t="str">
        <v>Oct</v>
      </c>
      <c r="W169">
        <v>2019</v>
      </c>
    </row>
    <row r="170" spans="1:23" x14ac:dyDescent="0.3">
      <c r="A170" t="s">
        <v>17</v>
      </c>
      <c r="B170" t="s">
        <v>14</v>
      </c>
      <c r="C170" t="s">
        <v>5</v>
      </c>
      <c r="D170" t="s">
        <v>27</v>
      </c>
      <c r="E170" s="1">
        <v>1287</v>
      </c>
      <c r="F170" s="1">
        <v>125</v>
      </c>
      <c r="G170" s="1">
        <v>160875</v>
      </c>
      <c r="H170" s="1">
        <v>156048.75</v>
      </c>
      <c r="I170" s="1">
        <v>1608.75</v>
      </c>
      <c r="J170" t="s">
        <v>15</v>
      </c>
      <c r="K170">
        <v>2019</v>
      </c>
      <c r="M170" t="str">
        <v>Government</v>
      </c>
      <c r="N170" t="str">
        <v>Germany</v>
      </c>
      <c r="O170" t="str">
        <v>Carretera</v>
      </c>
      <c r="P170" t="str">
        <v>High</v>
      </c>
      <c r="Q170">
        <v>792</v>
      </c>
      <c r="R170">
        <v>350</v>
      </c>
      <c r="S170">
        <v>277200</v>
      </c>
      <c r="T170">
        <v>246708</v>
      </c>
      <c r="U170">
        <v>40788</v>
      </c>
      <c r="V170" t="str">
        <v>Mar</v>
      </c>
      <c r="W170">
        <v>2019</v>
      </c>
    </row>
    <row r="171" spans="1:23" x14ac:dyDescent="0.3">
      <c r="A171" t="s">
        <v>17</v>
      </c>
      <c r="B171" t="s">
        <v>41</v>
      </c>
      <c r="C171" t="s">
        <v>5</v>
      </c>
      <c r="D171" t="s">
        <v>27</v>
      </c>
      <c r="E171" s="1">
        <v>1706</v>
      </c>
      <c r="F171" s="1">
        <v>125</v>
      </c>
      <c r="G171" s="1">
        <v>213250</v>
      </c>
      <c r="H171" s="1">
        <v>206852.5</v>
      </c>
      <c r="I171" s="1">
        <v>2132.5</v>
      </c>
      <c r="J171" t="s">
        <v>15</v>
      </c>
      <c r="K171">
        <v>2019</v>
      </c>
      <c r="M171" t="str">
        <v>Small Business</v>
      </c>
      <c r="N171" t="str">
        <v>Germany</v>
      </c>
      <c r="O171" t="str">
        <v>Carretera</v>
      </c>
      <c r="P171" t="str">
        <v>High</v>
      </c>
      <c r="Q171">
        <v>2811</v>
      </c>
      <c r="R171">
        <v>300</v>
      </c>
      <c r="S171">
        <v>843300</v>
      </c>
      <c r="T171">
        <v>750537</v>
      </c>
      <c r="U171">
        <v>47787</v>
      </c>
      <c r="V171" t="str">
        <v>Jul</v>
      </c>
      <c r="W171">
        <v>2019</v>
      </c>
    </row>
    <row r="172" spans="1:23" x14ac:dyDescent="0.3">
      <c r="A172" t="s">
        <v>17</v>
      </c>
      <c r="B172" t="s">
        <v>40</v>
      </c>
      <c r="C172" t="s">
        <v>20</v>
      </c>
      <c r="D172" t="s">
        <v>27</v>
      </c>
      <c r="E172" s="1">
        <v>2009</v>
      </c>
      <c r="F172" s="1">
        <v>125</v>
      </c>
      <c r="G172" s="1">
        <v>251125</v>
      </c>
      <c r="H172" s="1">
        <v>243591.25</v>
      </c>
      <c r="I172" s="1">
        <v>2511.25</v>
      </c>
      <c r="J172" t="s">
        <v>10</v>
      </c>
      <c r="K172">
        <v>2019</v>
      </c>
      <c r="M172" t="str">
        <v>Government</v>
      </c>
      <c r="N172" t="str">
        <v>Germany</v>
      </c>
      <c r="O172" t="str">
        <v>Montana</v>
      </c>
      <c r="P172" t="str">
        <v>High</v>
      </c>
      <c r="Q172">
        <v>766</v>
      </c>
      <c r="R172">
        <v>350</v>
      </c>
      <c r="S172">
        <v>268100</v>
      </c>
      <c r="T172">
        <v>238609</v>
      </c>
      <c r="U172">
        <v>39449</v>
      </c>
      <c r="V172" t="str">
        <v>Jan</v>
      </c>
      <c r="W172">
        <v>2019</v>
      </c>
    </row>
    <row r="173" spans="1:23" x14ac:dyDescent="0.3">
      <c r="A173" t="s">
        <v>12</v>
      </c>
      <c r="B173" t="s">
        <v>42</v>
      </c>
      <c r="C173" t="s">
        <v>2</v>
      </c>
      <c r="D173" t="s">
        <v>27</v>
      </c>
      <c r="E173" s="1">
        <v>2844</v>
      </c>
      <c r="F173" s="1">
        <v>300</v>
      </c>
      <c r="G173" s="1">
        <v>853200</v>
      </c>
      <c r="H173" s="1">
        <v>827604</v>
      </c>
      <c r="I173" s="1">
        <v>116604</v>
      </c>
      <c r="J173" t="s">
        <v>7</v>
      </c>
      <c r="K173">
        <v>2019</v>
      </c>
      <c r="M173" t="str">
        <v>Government</v>
      </c>
      <c r="N173" t="str">
        <v>Germany</v>
      </c>
      <c r="O173" t="str">
        <v>Montana</v>
      </c>
      <c r="P173" t="str">
        <v>High</v>
      </c>
      <c r="Q173">
        <v>2992</v>
      </c>
      <c r="R173">
        <v>20</v>
      </c>
      <c r="S173">
        <v>59840</v>
      </c>
      <c r="T173">
        <v>53257.599999999999</v>
      </c>
      <c r="U173">
        <v>23337.599999999999</v>
      </c>
      <c r="V173" t="str">
        <v>Oct</v>
      </c>
      <c r="W173">
        <v>2018</v>
      </c>
    </row>
    <row r="174" spans="1:23" x14ac:dyDescent="0.3">
      <c r="A174" t="s">
        <v>3</v>
      </c>
      <c r="B174" t="s">
        <v>9</v>
      </c>
      <c r="C174" t="s">
        <v>2</v>
      </c>
      <c r="D174" t="s">
        <v>27</v>
      </c>
      <c r="E174" s="1">
        <v>1916</v>
      </c>
      <c r="F174" s="1">
        <v>12</v>
      </c>
      <c r="G174" s="1">
        <v>22992</v>
      </c>
      <c r="H174" s="1">
        <v>22302.240000000002</v>
      </c>
      <c r="I174" s="1">
        <v>16554.240000000002</v>
      </c>
      <c r="J174" t="s">
        <v>4</v>
      </c>
      <c r="K174">
        <v>2019</v>
      </c>
      <c r="M174" t="str">
        <v>Midmarket</v>
      </c>
      <c r="N174" t="str">
        <v>Mexico</v>
      </c>
      <c r="O174" t="str">
        <v>Montana</v>
      </c>
      <c r="P174" t="str">
        <v>High</v>
      </c>
      <c r="Q174">
        <v>2157</v>
      </c>
      <c r="R174">
        <v>15</v>
      </c>
      <c r="S174">
        <v>32355</v>
      </c>
      <c r="T174">
        <v>28795.95</v>
      </c>
      <c r="U174">
        <v>7225.9500000000007</v>
      </c>
      <c r="V174" t="str">
        <v>Dec</v>
      </c>
      <c r="W174">
        <v>2019</v>
      </c>
    </row>
    <row r="175" spans="1:23" x14ac:dyDescent="0.3">
      <c r="A175" t="s">
        <v>17</v>
      </c>
      <c r="B175" t="s">
        <v>41</v>
      </c>
      <c r="C175" t="s">
        <v>2</v>
      </c>
      <c r="D175" t="s">
        <v>27</v>
      </c>
      <c r="E175" s="1">
        <v>1570</v>
      </c>
      <c r="F175" s="1">
        <v>125</v>
      </c>
      <c r="G175" s="1">
        <v>196250</v>
      </c>
      <c r="H175" s="1">
        <v>190362.5</v>
      </c>
      <c r="I175" s="1">
        <v>1962.5</v>
      </c>
      <c r="J175" t="s">
        <v>25</v>
      </c>
      <c r="K175">
        <v>2019</v>
      </c>
      <c r="M175" t="str">
        <v>Government</v>
      </c>
      <c r="N175" t="str">
        <v>Germany</v>
      </c>
      <c r="O175" t="str">
        <v>Paseo</v>
      </c>
      <c r="P175" t="str">
        <v>High</v>
      </c>
      <c r="Q175">
        <v>2992</v>
      </c>
      <c r="R175">
        <v>20</v>
      </c>
      <c r="S175">
        <v>59840</v>
      </c>
      <c r="T175">
        <v>53257.599999999999</v>
      </c>
      <c r="U175">
        <v>23337.599999999999</v>
      </c>
      <c r="V175" t="str">
        <v>Oct</v>
      </c>
      <c r="W175">
        <v>2018</v>
      </c>
    </row>
    <row r="176" spans="1:23" x14ac:dyDescent="0.3">
      <c r="A176" t="s">
        <v>12</v>
      </c>
      <c r="B176" t="s">
        <v>40</v>
      </c>
      <c r="C176" t="s">
        <v>2</v>
      </c>
      <c r="D176" t="s">
        <v>27</v>
      </c>
      <c r="E176" s="1">
        <v>1874</v>
      </c>
      <c r="F176" s="1">
        <v>300</v>
      </c>
      <c r="G176" s="1">
        <v>562200</v>
      </c>
      <c r="H176" s="1">
        <v>545334</v>
      </c>
      <c r="I176" s="1">
        <v>76834</v>
      </c>
      <c r="J176" t="s">
        <v>22</v>
      </c>
      <c r="K176">
        <v>2019</v>
      </c>
      <c r="M176" t="str">
        <v>Enterprise</v>
      </c>
      <c r="N176" t="str">
        <v>Germany</v>
      </c>
      <c r="O176" t="str">
        <v>Amarilla</v>
      </c>
      <c r="P176" t="str">
        <v>High</v>
      </c>
      <c r="Q176">
        <v>3165</v>
      </c>
      <c r="R176">
        <v>125</v>
      </c>
      <c r="S176">
        <v>395625</v>
      </c>
      <c r="T176">
        <v>352106.25</v>
      </c>
      <c r="U176">
        <v>-27693.75</v>
      </c>
      <c r="V176" t="str">
        <v>Jan</v>
      </c>
      <c r="W176">
        <v>2019</v>
      </c>
    </row>
    <row r="177" spans="1:23" x14ac:dyDescent="0.3">
      <c r="A177" t="s">
        <v>6</v>
      </c>
      <c r="B177" t="s">
        <v>9</v>
      </c>
      <c r="C177" t="s">
        <v>2</v>
      </c>
      <c r="D177" t="s">
        <v>27</v>
      </c>
      <c r="E177" s="1">
        <v>1642</v>
      </c>
      <c r="F177" s="1">
        <v>350</v>
      </c>
      <c r="G177" s="1">
        <v>574700</v>
      </c>
      <c r="H177" s="1">
        <v>557459</v>
      </c>
      <c r="I177" s="1">
        <v>130539</v>
      </c>
      <c r="J177" t="s">
        <v>22</v>
      </c>
      <c r="K177">
        <v>2019</v>
      </c>
      <c r="M177" t="str">
        <v>Midmarket</v>
      </c>
      <c r="N177" t="str">
        <v>Usa</v>
      </c>
      <c r="O177" t="str">
        <v>Montana</v>
      </c>
      <c r="P177" t="str">
        <v>High</v>
      </c>
      <c r="Q177">
        <v>677</v>
      </c>
      <c r="R177">
        <v>15</v>
      </c>
      <c r="S177">
        <v>10155</v>
      </c>
      <c r="T177">
        <v>8936.4</v>
      </c>
      <c r="U177">
        <v>2166.3999999999996</v>
      </c>
      <c r="V177" t="str">
        <v>Mar</v>
      </c>
      <c r="W177">
        <v>2019</v>
      </c>
    </row>
    <row r="178" spans="1:23" x14ac:dyDescent="0.3">
      <c r="A178" t="s">
        <v>18</v>
      </c>
      <c r="B178" t="s">
        <v>41</v>
      </c>
      <c r="C178" t="s">
        <v>2</v>
      </c>
      <c r="D178" t="s">
        <v>27</v>
      </c>
      <c r="E178" s="1">
        <v>1945</v>
      </c>
      <c r="F178" s="1">
        <v>15</v>
      </c>
      <c r="G178" s="1">
        <v>29175</v>
      </c>
      <c r="H178" s="1">
        <v>28299.75</v>
      </c>
      <c r="I178" s="1">
        <v>8849.75</v>
      </c>
      <c r="J178" t="s">
        <v>10</v>
      </c>
      <c r="K178">
        <v>2018</v>
      </c>
      <c r="M178" t="str">
        <v>Small Business</v>
      </c>
      <c r="N178" t="str">
        <v>France</v>
      </c>
      <c r="O178" t="str">
        <v>Montana</v>
      </c>
      <c r="P178" t="str">
        <v>High</v>
      </c>
      <c r="Q178">
        <v>1773</v>
      </c>
      <c r="R178">
        <v>300</v>
      </c>
      <c r="S178">
        <v>531900</v>
      </c>
      <c r="T178">
        <v>468072</v>
      </c>
      <c r="U178">
        <v>24822</v>
      </c>
      <c r="V178" t="str">
        <v>Apr</v>
      </c>
      <c r="W178">
        <v>2019</v>
      </c>
    </row>
    <row r="179" spans="1:23" x14ac:dyDescent="0.3">
      <c r="A179" t="s">
        <v>6</v>
      </c>
      <c r="B179" t="s">
        <v>40</v>
      </c>
      <c r="C179" t="s">
        <v>23</v>
      </c>
      <c r="D179" t="s">
        <v>27</v>
      </c>
      <c r="E179" s="1">
        <v>831</v>
      </c>
      <c r="F179" s="1">
        <v>20</v>
      </c>
      <c r="G179" s="1">
        <v>16620</v>
      </c>
      <c r="H179" s="1">
        <v>16121.4</v>
      </c>
      <c r="I179" s="1">
        <v>7811.4</v>
      </c>
      <c r="J179" t="s">
        <v>0</v>
      </c>
      <c r="K179">
        <v>2019</v>
      </c>
      <c r="M179" t="str">
        <v>Government</v>
      </c>
      <c r="N179" t="str">
        <v>Mexico</v>
      </c>
      <c r="O179" t="str">
        <v>Montana</v>
      </c>
      <c r="P179" t="str">
        <v>High</v>
      </c>
      <c r="Q179">
        <v>2420</v>
      </c>
      <c r="R179">
        <v>7</v>
      </c>
      <c r="S179">
        <v>16940</v>
      </c>
      <c r="T179">
        <v>14907.2</v>
      </c>
      <c r="U179">
        <v>2807.2000000000007</v>
      </c>
      <c r="V179" t="str">
        <v>Sep</v>
      </c>
      <c r="W179">
        <v>2019</v>
      </c>
    </row>
    <row r="180" spans="1:23" x14ac:dyDescent="0.3">
      <c r="A180" t="s">
        <v>6</v>
      </c>
      <c r="B180" t="s">
        <v>9</v>
      </c>
      <c r="C180" t="s">
        <v>5</v>
      </c>
      <c r="D180" t="s">
        <v>27</v>
      </c>
      <c r="E180" s="1">
        <v>1760</v>
      </c>
      <c r="F180" s="1">
        <v>7</v>
      </c>
      <c r="G180" s="1">
        <v>12320</v>
      </c>
      <c r="H180" s="1">
        <v>11950.4</v>
      </c>
      <c r="I180" s="1">
        <v>3150.3999999999996</v>
      </c>
      <c r="J180" t="s">
        <v>21</v>
      </c>
      <c r="K180">
        <v>2018</v>
      </c>
      <c r="M180" t="str">
        <v>Government</v>
      </c>
      <c r="N180" t="str">
        <v>Canada</v>
      </c>
      <c r="O180" t="str">
        <v>Montana</v>
      </c>
      <c r="P180" t="str">
        <v>High</v>
      </c>
      <c r="Q180">
        <v>2734</v>
      </c>
      <c r="R180">
        <v>7</v>
      </c>
      <c r="S180">
        <v>19138</v>
      </c>
      <c r="T180">
        <v>16841.439999999999</v>
      </c>
      <c r="U180">
        <v>3171.4399999999987</v>
      </c>
      <c r="V180" t="str">
        <v>Oct</v>
      </c>
      <c r="W180">
        <v>2019</v>
      </c>
    </row>
    <row r="181" spans="1:23" x14ac:dyDescent="0.3">
      <c r="A181" t="s">
        <v>6</v>
      </c>
      <c r="B181" t="s">
        <v>40</v>
      </c>
      <c r="C181" t="s">
        <v>20</v>
      </c>
      <c r="D181" t="s">
        <v>27</v>
      </c>
      <c r="E181" s="1">
        <v>3850.5</v>
      </c>
      <c r="F181" s="1">
        <v>20</v>
      </c>
      <c r="G181" s="1">
        <v>77010</v>
      </c>
      <c r="H181" s="1">
        <v>74699.700000000012</v>
      </c>
      <c r="I181" s="1">
        <v>36194.700000000004</v>
      </c>
      <c r="J181" t="s">
        <v>4</v>
      </c>
      <c r="K181">
        <v>2019</v>
      </c>
      <c r="M181" t="str">
        <v>Government</v>
      </c>
      <c r="N181" t="str">
        <v>Mexico</v>
      </c>
      <c r="O181" t="str">
        <v>Montana</v>
      </c>
      <c r="P181" t="str">
        <v>High</v>
      </c>
      <c r="Q181">
        <v>1715</v>
      </c>
      <c r="R181">
        <v>20</v>
      </c>
      <c r="S181">
        <v>34300</v>
      </c>
      <c r="T181">
        <v>30184</v>
      </c>
      <c r="U181">
        <v>13034</v>
      </c>
      <c r="V181" t="str">
        <v>Oct</v>
      </c>
      <c r="W181">
        <v>2018</v>
      </c>
    </row>
    <row r="182" spans="1:23" x14ac:dyDescent="0.3">
      <c r="A182" t="s">
        <v>3</v>
      </c>
      <c r="B182" t="s">
        <v>41</v>
      </c>
      <c r="C182" t="s">
        <v>2</v>
      </c>
      <c r="D182" t="s">
        <v>27</v>
      </c>
      <c r="E182" s="1">
        <v>2479</v>
      </c>
      <c r="F182" s="1">
        <v>12</v>
      </c>
      <c r="G182" s="1">
        <v>29748</v>
      </c>
      <c r="H182" s="1">
        <v>28855.56</v>
      </c>
      <c r="I182" s="1">
        <v>21418.560000000001</v>
      </c>
      <c r="J182" t="s">
        <v>24</v>
      </c>
      <c r="K182">
        <v>2019</v>
      </c>
      <c r="M182" t="str">
        <v>Small Business</v>
      </c>
      <c r="N182" t="str">
        <v>France</v>
      </c>
      <c r="O182" t="str">
        <v>Montana</v>
      </c>
      <c r="P182" t="str">
        <v>High</v>
      </c>
      <c r="Q182">
        <v>1186</v>
      </c>
      <c r="R182">
        <v>300</v>
      </c>
      <c r="S182">
        <v>355800</v>
      </c>
      <c r="T182">
        <v>313104</v>
      </c>
      <c r="U182">
        <v>16604</v>
      </c>
      <c r="V182" t="str">
        <v>Dec</v>
      </c>
      <c r="W182">
        <v>2018</v>
      </c>
    </row>
    <row r="183" spans="1:23" x14ac:dyDescent="0.3">
      <c r="A183" t="s">
        <v>18</v>
      </c>
      <c r="B183" t="s">
        <v>9</v>
      </c>
      <c r="C183" t="s">
        <v>8</v>
      </c>
      <c r="D183" t="s">
        <v>27</v>
      </c>
      <c r="E183" s="1">
        <v>2031</v>
      </c>
      <c r="F183" s="1">
        <v>15</v>
      </c>
      <c r="G183" s="1">
        <v>30465</v>
      </c>
      <c r="H183" s="1">
        <v>29246.400000000001</v>
      </c>
      <c r="I183" s="1">
        <v>8936.4000000000015</v>
      </c>
      <c r="J183" t="s">
        <v>10</v>
      </c>
      <c r="K183">
        <v>2019</v>
      </c>
      <c r="M183" t="str">
        <v>Small Business</v>
      </c>
      <c r="N183" t="str">
        <v>Germany</v>
      </c>
      <c r="O183" t="str">
        <v>Paseo</v>
      </c>
      <c r="P183" t="str">
        <v>High</v>
      </c>
      <c r="Q183">
        <v>1359</v>
      </c>
      <c r="R183">
        <v>300</v>
      </c>
      <c r="S183">
        <v>407700</v>
      </c>
      <c r="T183">
        <v>358776</v>
      </c>
      <c r="U183">
        <v>19026</v>
      </c>
      <c r="V183" t="str">
        <v>Nov</v>
      </c>
      <c r="W183">
        <v>2019</v>
      </c>
    </row>
    <row r="184" spans="1:23" x14ac:dyDescent="0.3">
      <c r="A184" t="s">
        <v>18</v>
      </c>
      <c r="B184" t="s">
        <v>9</v>
      </c>
      <c r="C184" t="s">
        <v>5</v>
      </c>
      <c r="D184" t="s">
        <v>27</v>
      </c>
      <c r="E184" s="1">
        <v>2031</v>
      </c>
      <c r="F184" s="1">
        <v>15</v>
      </c>
      <c r="G184" s="1">
        <v>30465</v>
      </c>
      <c r="H184" s="1">
        <v>29246.400000000001</v>
      </c>
      <c r="I184" s="1">
        <v>8936.4000000000015</v>
      </c>
      <c r="J184" t="s">
        <v>10</v>
      </c>
      <c r="K184">
        <v>2019</v>
      </c>
      <c r="M184" t="str">
        <v>Channel Partners</v>
      </c>
      <c r="N184" t="str">
        <v>Mexico</v>
      </c>
      <c r="O184" t="str">
        <v>Montana</v>
      </c>
      <c r="P184" t="str">
        <v>High</v>
      </c>
      <c r="Q184">
        <v>2661</v>
      </c>
      <c r="R184">
        <v>12</v>
      </c>
      <c r="S184">
        <v>31932</v>
      </c>
      <c r="T184">
        <v>28100.16</v>
      </c>
      <c r="U184">
        <v>20117.16</v>
      </c>
      <c r="V184" t="str">
        <v>May</v>
      </c>
      <c r="W184">
        <v>2019</v>
      </c>
    </row>
    <row r="185" spans="1:23" x14ac:dyDescent="0.3">
      <c r="A185" t="s">
        <v>18</v>
      </c>
      <c r="B185" t="s">
        <v>14</v>
      </c>
      <c r="C185" t="s">
        <v>5</v>
      </c>
      <c r="D185" t="s">
        <v>27</v>
      </c>
      <c r="E185" s="1">
        <v>2261</v>
      </c>
      <c r="F185" s="1">
        <v>15</v>
      </c>
      <c r="G185" s="1">
        <v>33915</v>
      </c>
      <c r="H185" s="1">
        <v>32558.400000000001</v>
      </c>
      <c r="I185" s="1">
        <v>9948.4000000000015</v>
      </c>
      <c r="J185" t="s">
        <v>15</v>
      </c>
      <c r="K185">
        <v>2018</v>
      </c>
      <c r="M185" t="str">
        <v>Government</v>
      </c>
      <c r="N185" t="str">
        <v>Germany</v>
      </c>
      <c r="O185" t="str">
        <v>Paseo</v>
      </c>
      <c r="P185" t="str">
        <v>High</v>
      </c>
      <c r="Q185">
        <v>1531</v>
      </c>
      <c r="R185">
        <v>20</v>
      </c>
      <c r="S185">
        <v>30620</v>
      </c>
      <c r="T185">
        <v>26945.599999999999</v>
      </c>
      <c r="U185">
        <v>11635.599999999999</v>
      </c>
      <c r="V185" t="str">
        <v>Dec</v>
      </c>
      <c r="W185">
        <v>2019</v>
      </c>
    </row>
    <row r="186" spans="1:23" x14ac:dyDescent="0.3">
      <c r="A186" t="s">
        <v>6</v>
      </c>
      <c r="B186" t="s">
        <v>42</v>
      </c>
      <c r="C186" t="s">
        <v>20</v>
      </c>
      <c r="D186" t="s">
        <v>27</v>
      </c>
      <c r="E186" s="1">
        <v>736</v>
      </c>
      <c r="F186" s="1">
        <v>20</v>
      </c>
      <c r="G186" s="1">
        <v>14720</v>
      </c>
      <c r="H186" s="1">
        <v>14131.2</v>
      </c>
      <c r="I186" s="1">
        <v>6771.2000000000007</v>
      </c>
      <c r="J186" t="s">
        <v>21</v>
      </c>
      <c r="K186">
        <v>2018</v>
      </c>
      <c r="M186" t="str">
        <v>Government</v>
      </c>
      <c r="N186" t="str">
        <v>Germany</v>
      </c>
      <c r="O186" t="str">
        <v>VTT</v>
      </c>
      <c r="P186" t="str">
        <v>High</v>
      </c>
      <c r="Q186">
        <v>1531</v>
      </c>
      <c r="R186">
        <v>20</v>
      </c>
      <c r="S186">
        <v>30620</v>
      </c>
      <c r="T186">
        <v>26945.599999999999</v>
      </c>
      <c r="U186">
        <v>11635.599999999999</v>
      </c>
      <c r="V186" t="str">
        <v>Dec</v>
      </c>
      <c r="W186">
        <v>2019</v>
      </c>
    </row>
    <row r="187" spans="1:23" x14ac:dyDescent="0.3">
      <c r="A187" t="s">
        <v>6</v>
      </c>
      <c r="B187" t="s">
        <v>40</v>
      </c>
      <c r="C187" t="s">
        <v>23</v>
      </c>
      <c r="D187" t="s">
        <v>27</v>
      </c>
      <c r="E187" s="1">
        <v>2851</v>
      </c>
      <c r="F187" s="1">
        <v>7</v>
      </c>
      <c r="G187" s="1">
        <v>19957</v>
      </c>
      <c r="H187" s="1">
        <v>19158.72</v>
      </c>
      <c r="I187" s="1">
        <v>4903.7200000000012</v>
      </c>
      <c r="J187" t="s">
        <v>10</v>
      </c>
      <c r="K187">
        <v>2018</v>
      </c>
      <c r="M187" t="str">
        <v>Government</v>
      </c>
      <c r="N187" t="str">
        <v>Germany</v>
      </c>
      <c r="O187" t="str">
        <v>Carretera</v>
      </c>
      <c r="P187" t="str">
        <v>High</v>
      </c>
      <c r="Q187">
        <v>442</v>
      </c>
      <c r="R187">
        <v>20</v>
      </c>
      <c r="S187">
        <v>8840</v>
      </c>
      <c r="T187">
        <v>7690.8</v>
      </c>
      <c r="U187">
        <v>3270.8</v>
      </c>
      <c r="V187" t="str">
        <v>Sep</v>
      </c>
      <c r="W187">
        <v>2018</v>
      </c>
    </row>
    <row r="188" spans="1:23" x14ac:dyDescent="0.3">
      <c r="A188" t="s">
        <v>12</v>
      </c>
      <c r="B188" t="s">
        <v>41</v>
      </c>
      <c r="C188" t="s">
        <v>23</v>
      </c>
      <c r="D188" t="s">
        <v>27</v>
      </c>
      <c r="E188" s="1">
        <v>2021</v>
      </c>
      <c r="F188" s="1">
        <v>300</v>
      </c>
      <c r="G188" s="1">
        <v>606300</v>
      </c>
      <c r="H188" s="1">
        <v>582048</v>
      </c>
      <c r="I188" s="1">
        <v>76798</v>
      </c>
      <c r="J188" t="s">
        <v>10</v>
      </c>
      <c r="K188">
        <v>2019</v>
      </c>
      <c r="M188" t="str">
        <v>Government</v>
      </c>
      <c r="N188" t="str">
        <v>Usa</v>
      </c>
      <c r="O188" t="str">
        <v>Montana</v>
      </c>
      <c r="P188" t="str">
        <v>High</v>
      </c>
      <c r="Q188">
        <v>982.5</v>
      </c>
      <c r="R188">
        <v>350</v>
      </c>
      <c r="S188">
        <v>343875</v>
      </c>
      <c r="T188">
        <v>299171.25</v>
      </c>
      <c r="U188">
        <v>43721.25</v>
      </c>
      <c r="V188" t="str">
        <v>Jan</v>
      </c>
      <c r="W188">
        <v>2019</v>
      </c>
    </row>
    <row r="189" spans="1:23" x14ac:dyDescent="0.3">
      <c r="A189" t="s">
        <v>6</v>
      </c>
      <c r="B189" t="s">
        <v>42</v>
      </c>
      <c r="C189" t="s">
        <v>23</v>
      </c>
      <c r="D189" t="s">
        <v>27</v>
      </c>
      <c r="E189" s="1">
        <v>274</v>
      </c>
      <c r="F189" s="1">
        <v>350</v>
      </c>
      <c r="G189" s="1">
        <v>95900</v>
      </c>
      <c r="H189" s="1">
        <v>92064</v>
      </c>
      <c r="I189" s="1">
        <v>20824</v>
      </c>
      <c r="J189" t="s">
        <v>15</v>
      </c>
      <c r="K189">
        <v>2019</v>
      </c>
      <c r="M189" t="str">
        <v>Government</v>
      </c>
      <c r="N189" t="str">
        <v>Usa</v>
      </c>
      <c r="O189" t="str">
        <v>Montana</v>
      </c>
      <c r="P189" t="str">
        <v>High</v>
      </c>
      <c r="Q189">
        <v>1298</v>
      </c>
      <c r="R189">
        <v>7</v>
      </c>
      <c r="S189">
        <v>9086</v>
      </c>
      <c r="T189">
        <v>7904.82</v>
      </c>
      <c r="U189">
        <v>1414.8199999999997</v>
      </c>
      <c r="V189" t="str">
        <v>Feb</v>
      </c>
      <c r="W189">
        <v>2019</v>
      </c>
    </row>
    <row r="190" spans="1:23" x14ac:dyDescent="0.3">
      <c r="A190" t="s">
        <v>18</v>
      </c>
      <c r="B190" t="s">
        <v>40</v>
      </c>
      <c r="C190" t="s">
        <v>8</v>
      </c>
      <c r="D190" t="s">
        <v>27</v>
      </c>
      <c r="E190" s="1">
        <v>1967</v>
      </c>
      <c r="F190" s="1">
        <v>15</v>
      </c>
      <c r="G190" s="1">
        <v>29505</v>
      </c>
      <c r="H190" s="1">
        <v>28324.799999999999</v>
      </c>
      <c r="I190" s="1">
        <v>8654.7999999999993</v>
      </c>
      <c r="J190" t="s">
        <v>13</v>
      </c>
      <c r="K190">
        <v>2019</v>
      </c>
      <c r="M190" t="str">
        <v>Channel Partners</v>
      </c>
      <c r="N190" t="str">
        <v>Mexico</v>
      </c>
      <c r="O190" t="str">
        <v>Montana</v>
      </c>
      <c r="P190" t="str">
        <v>High</v>
      </c>
      <c r="Q190">
        <v>604</v>
      </c>
      <c r="R190">
        <v>12</v>
      </c>
      <c r="S190">
        <v>7248</v>
      </c>
      <c r="T190">
        <v>6305.76</v>
      </c>
      <c r="U190">
        <v>4493.76</v>
      </c>
      <c r="V190" t="str">
        <v>Jun</v>
      </c>
      <c r="W190">
        <v>2019</v>
      </c>
    </row>
    <row r="191" spans="1:23" x14ac:dyDescent="0.3">
      <c r="A191" t="s">
        <v>12</v>
      </c>
      <c r="B191" t="s">
        <v>41</v>
      </c>
      <c r="C191" t="s">
        <v>8</v>
      </c>
      <c r="D191" t="s">
        <v>27</v>
      </c>
      <c r="E191" s="1">
        <v>1859</v>
      </c>
      <c r="F191" s="1">
        <v>300</v>
      </c>
      <c r="G191" s="1">
        <v>557700</v>
      </c>
      <c r="H191" s="1">
        <v>535392</v>
      </c>
      <c r="I191" s="1">
        <v>70642</v>
      </c>
      <c r="J191" t="s">
        <v>22</v>
      </c>
      <c r="K191">
        <v>2019</v>
      </c>
      <c r="M191" t="str">
        <v>Government</v>
      </c>
      <c r="N191" t="str">
        <v>Mexico</v>
      </c>
      <c r="O191" t="str">
        <v>Montana</v>
      </c>
      <c r="P191" t="str">
        <v>High</v>
      </c>
      <c r="Q191">
        <v>2255</v>
      </c>
      <c r="R191">
        <v>20</v>
      </c>
      <c r="S191">
        <v>45100</v>
      </c>
      <c r="T191">
        <v>39237</v>
      </c>
      <c r="U191">
        <v>16687</v>
      </c>
      <c r="V191" t="str">
        <v>Jul</v>
      </c>
      <c r="W191">
        <v>2019</v>
      </c>
    </row>
    <row r="192" spans="1:23" x14ac:dyDescent="0.3">
      <c r="A192" t="s">
        <v>6</v>
      </c>
      <c r="B192" t="s">
        <v>40</v>
      </c>
      <c r="C192" t="s">
        <v>8</v>
      </c>
      <c r="D192" t="s">
        <v>27</v>
      </c>
      <c r="E192" s="1">
        <v>2851</v>
      </c>
      <c r="F192" s="1">
        <v>7</v>
      </c>
      <c r="G192" s="1">
        <v>19957</v>
      </c>
      <c r="H192" s="1">
        <v>19158.72</v>
      </c>
      <c r="I192" s="1">
        <v>4903.7200000000012</v>
      </c>
      <c r="J192" t="s">
        <v>10</v>
      </c>
      <c r="K192">
        <v>2018</v>
      </c>
      <c r="M192" t="str">
        <v>Government</v>
      </c>
      <c r="N192" t="str">
        <v>Canada</v>
      </c>
      <c r="O192" t="str">
        <v>Montana</v>
      </c>
      <c r="P192" t="str">
        <v>High</v>
      </c>
      <c r="Q192">
        <v>1249</v>
      </c>
      <c r="R192">
        <v>20</v>
      </c>
      <c r="S192">
        <v>24980</v>
      </c>
      <c r="T192">
        <v>21732.6</v>
      </c>
      <c r="U192">
        <v>9242.5999999999985</v>
      </c>
      <c r="V192" t="str">
        <v>Oct</v>
      </c>
      <c r="W192">
        <v>2019</v>
      </c>
    </row>
    <row r="193" spans="1:23" x14ac:dyDescent="0.3">
      <c r="A193" t="s">
        <v>12</v>
      </c>
      <c r="B193" t="s">
        <v>41</v>
      </c>
      <c r="C193" t="s">
        <v>8</v>
      </c>
      <c r="D193" t="s">
        <v>27</v>
      </c>
      <c r="E193" s="1">
        <v>2021</v>
      </c>
      <c r="F193" s="1">
        <v>300</v>
      </c>
      <c r="G193" s="1">
        <v>606300</v>
      </c>
      <c r="H193" s="1">
        <v>582048</v>
      </c>
      <c r="I193" s="1">
        <v>76798</v>
      </c>
      <c r="J193" t="s">
        <v>10</v>
      </c>
      <c r="K193">
        <v>2019</v>
      </c>
      <c r="M193" t="str">
        <v>Small Business</v>
      </c>
      <c r="N193" t="str">
        <v>Germany</v>
      </c>
      <c r="O193" t="str">
        <v>Paseo</v>
      </c>
      <c r="P193" t="str">
        <v>High</v>
      </c>
      <c r="Q193">
        <v>807</v>
      </c>
      <c r="R193">
        <v>300</v>
      </c>
      <c r="S193">
        <v>242100</v>
      </c>
      <c r="T193">
        <v>210627</v>
      </c>
      <c r="U193">
        <v>8877</v>
      </c>
      <c r="V193" t="str">
        <v>Jan</v>
      </c>
      <c r="W193">
        <v>2019</v>
      </c>
    </row>
    <row r="194" spans="1:23" x14ac:dyDescent="0.3">
      <c r="A194" t="s">
        <v>17</v>
      </c>
      <c r="B194" t="s">
        <v>9</v>
      </c>
      <c r="C194" t="s">
        <v>8</v>
      </c>
      <c r="D194" t="s">
        <v>27</v>
      </c>
      <c r="E194" s="1">
        <v>1138</v>
      </c>
      <c r="F194" s="1">
        <v>125</v>
      </c>
      <c r="G194" s="1">
        <v>142250</v>
      </c>
      <c r="H194" s="1">
        <v>136560</v>
      </c>
      <c r="I194" s="1">
        <v>0</v>
      </c>
      <c r="J194" t="s">
        <v>15</v>
      </c>
      <c r="K194">
        <v>2019</v>
      </c>
      <c r="M194" t="str">
        <v>Government</v>
      </c>
      <c r="N194" t="str">
        <v>Germany</v>
      </c>
      <c r="O194" t="str">
        <v>Paseo</v>
      </c>
      <c r="P194" t="str">
        <v>High</v>
      </c>
      <c r="Q194">
        <v>2708</v>
      </c>
      <c r="R194">
        <v>20</v>
      </c>
      <c r="S194">
        <v>54160</v>
      </c>
      <c r="T194">
        <v>47119.199999999997</v>
      </c>
      <c r="U194">
        <v>20039.199999999997</v>
      </c>
      <c r="V194" t="str">
        <v>Feb</v>
      </c>
      <c r="W194">
        <v>2019</v>
      </c>
    </row>
    <row r="195" spans="1:23" x14ac:dyDescent="0.3">
      <c r="A195" t="s">
        <v>6</v>
      </c>
      <c r="B195" t="s">
        <v>40</v>
      </c>
      <c r="C195" t="s">
        <v>5</v>
      </c>
      <c r="D195" t="s">
        <v>27</v>
      </c>
      <c r="E195" s="1">
        <v>4251</v>
      </c>
      <c r="F195" s="1">
        <v>7</v>
      </c>
      <c r="G195" s="1">
        <v>29757</v>
      </c>
      <c r="H195" s="1">
        <v>28566.720000000001</v>
      </c>
      <c r="I195" s="1">
        <v>7311.7199999999993</v>
      </c>
      <c r="J195" t="s">
        <v>24</v>
      </c>
      <c r="K195">
        <v>2019</v>
      </c>
      <c r="M195" t="str">
        <v>Government</v>
      </c>
      <c r="N195" t="str">
        <v>Germany</v>
      </c>
      <c r="O195" t="str">
        <v>Paseo</v>
      </c>
      <c r="P195" t="str">
        <v>High</v>
      </c>
      <c r="Q195">
        <v>357</v>
      </c>
      <c r="R195">
        <v>350</v>
      </c>
      <c r="S195">
        <v>124950</v>
      </c>
      <c r="T195">
        <v>108706.5</v>
      </c>
      <c r="U195">
        <v>15886.5</v>
      </c>
      <c r="V195" t="str">
        <v>Nov</v>
      </c>
      <c r="W195">
        <v>2019</v>
      </c>
    </row>
    <row r="196" spans="1:23" x14ac:dyDescent="0.3">
      <c r="A196" t="s">
        <v>17</v>
      </c>
      <c r="B196" t="s">
        <v>41</v>
      </c>
      <c r="C196" t="s">
        <v>5</v>
      </c>
      <c r="D196" t="s">
        <v>27</v>
      </c>
      <c r="E196" s="1">
        <v>795</v>
      </c>
      <c r="F196" s="1">
        <v>125</v>
      </c>
      <c r="G196" s="1">
        <v>99375</v>
      </c>
      <c r="H196" s="1">
        <v>95400</v>
      </c>
      <c r="I196" s="1">
        <v>0</v>
      </c>
      <c r="J196" t="s">
        <v>13</v>
      </c>
      <c r="K196">
        <v>2019</v>
      </c>
      <c r="M196" t="str">
        <v>Channel Partners</v>
      </c>
      <c r="N196" t="str">
        <v>Germany</v>
      </c>
      <c r="O196" t="str">
        <v>Paseo</v>
      </c>
      <c r="P196" t="str">
        <v>High</v>
      </c>
      <c r="Q196">
        <v>1013</v>
      </c>
      <c r="R196">
        <v>12</v>
      </c>
      <c r="S196">
        <v>12156</v>
      </c>
      <c r="T196">
        <v>10575.72</v>
      </c>
      <c r="U196">
        <v>7536.7199999999993</v>
      </c>
      <c r="V196" t="str">
        <v>Dec</v>
      </c>
      <c r="W196">
        <v>2019</v>
      </c>
    </row>
    <row r="197" spans="1:23" x14ac:dyDescent="0.3">
      <c r="A197" t="s">
        <v>12</v>
      </c>
      <c r="B197" t="s">
        <v>41</v>
      </c>
      <c r="C197" t="s">
        <v>5</v>
      </c>
      <c r="D197" t="s">
        <v>27</v>
      </c>
      <c r="E197" s="1">
        <v>1414.5</v>
      </c>
      <c r="F197" s="1">
        <v>300</v>
      </c>
      <c r="G197" s="1">
        <v>424350</v>
      </c>
      <c r="H197" s="1">
        <v>407376</v>
      </c>
      <c r="I197" s="1">
        <v>53751</v>
      </c>
      <c r="J197" t="s">
        <v>4</v>
      </c>
      <c r="K197">
        <v>2019</v>
      </c>
      <c r="M197" t="str">
        <v>Midmarket</v>
      </c>
      <c r="N197" t="str">
        <v>Germany</v>
      </c>
      <c r="O197" t="str">
        <v>Velo</v>
      </c>
      <c r="P197" t="str">
        <v>High</v>
      </c>
      <c r="Q197">
        <v>660</v>
      </c>
      <c r="R197">
        <v>15</v>
      </c>
      <c r="S197">
        <v>9900</v>
      </c>
      <c r="T197">
        <v>8613</v>
      </c>
      <c r="U197">
        <v>2013</v>
      </c>
      <c r="V197" t="str">
        <v>Sep</v>
      </c>
      <c r="W197">
        <v>2018</v>
      </c>
    </row>
    <row r="198" spans="1:23" x14ac:dyDescent="0.3">
      <c r="A198" t="s">
        <v>12</v>
      </c>
      <c r="B198" t="s">
        <v>42</v>
      </c>
      <c r="C198" t="s">
        <v>5</v>
      </c>
      <c r="D198" t="s">
        <v>27</v>
      </c>
      <c r="E198" s="1">
        <v>2918</v>
      </c>
      <c r="F198" s="1">
        <v>300</v>
      </c>
      <c r="G198" s="1">
        <v>875400</v>
      </c>
      <c r="H198" s="1">
        <v>840384</v>
      </c>
      <c r="I198" s="1">
        <v>110884</v>
      </c>
      <c r="J198" t="s">
        <v>0</v>
      </c>
      <c r="K198">
        <v>2019</v>
      </c>
      <c r="M198" t="str">
        <v>Channel Partners</v>
      </c>
      <c r="N198" t="str">
        <v>Germany</v>
      </c>
      <c r="O198" t="str">
        <v>Velo</v>
      </c>
      <c r="P198" t="str">
        <v>High</v>
      </c>
      <c r="Q198">
        <v>1013</v>
      </c>
      <c r="R198">
        <v>12</v>
      </c>
      <c r="S198">
        <v>12156</v>
      </c>
      <c r="T198">
        <v>10575.72</v>
      </c>
      <c r="U198">
        <v>7536.7199999999993</v>
      </c>
      <c r="V198" t="str">
        <v>Dec</v>
      </c>
      <c r="W198">
        <v>2019</v>
      </c>
    </row>
    <row r="199" spans="1:23" x14ac:dyDescent="0.3">
      <c r="A199" t="s">
        <v>6</v>
      </c>
      <c r="B199" t="s">
        <v>42</v>
      </c>
      <c r="C199" t="s">
        <v>5</v>
      </c>
      <c r="D199" t="s">
        <v>27</v>
      </c>
      <c r="E199" s="1">
        <v>3450</v>
      </c>
      <c r="F199" s="1">
        <v>350</v>
      </c>
      <c r="G199" s="1">
        <v>1207500</v>
      </c>
      <c r="H199" s="1">
        <v>1159200</v>
      </c>
      <c r="I199" s="1">
        <v>262200</v>
      </c>
      <c r="J199" t="s">
        <v>19</v>
      </c>
      <c r="K199">
        <v>2019</v>
      </c>
      <c r="M199" t="str">
        <v>Channel Partners</v>
      </c>
      <c r="N199" t="str">
        <v>Germany</v>
      </c>
      <c r="O199" t="str">
        <v>Amarilla</v>
      </c>
      <c r="P199" t="str">
        <v>High</v>
      </c>
      <c r="Q199">
        <v>1770</v>
      </c>
      <c r="R199">
        <v>12</v>
      </c>
      <c r="S199">
        <v>21240</v>
      </c>
      <c r="T199">
        <v>18478.8</v>
      </c>
      <c r="U199">
        <v>13168.8</v>
      </c>
      <c r="V199" t="str">
        <v>Dec</v>
      </c>
      <c r="W199">
        <v>2018</v>
      </c>
    </row>
    <row r="200" spans="1:23" x14ac:dyDescent="0.3">
      <c r="A200" t="s">
        <v>17</v>
      </c>
      <c r="B200" t="s">
        <v>14</v>
      </c>
      <c r="C200" t="s">
        <v>5</v>
      </c>
      <c r="D200" t="s">
        <v>27</v>
      </c>
      <c r="E200" s="1">
        <v>2988</v>
      </c>
      <c r="F200" s="1">
        <v>125</v>
      </c>
      <c r="G200" s="1">
        <v>373500</v>
      </c>
      <c r="H200" s="1">
        <v>358560</v>
      </c>
      <c r="I200" s="1">
        <v>0</v>
      </c>
      <c r="J200" t="s">
        <v>19</v>
      </c>
      <c r="K200">
        <v>2019</v>
      </c>
      <c r="M200" t="str">
        <v>Government</v>
      </c>
      <c r="N200" t="str">
        <v>Germany</v>
      </c>
      <c r="O200" t="str">
        <v>Carretera</v>
      </c>
      <c r="P200" t="str">
        <v>High</v>
      </c>
      <c r="Q200">
        <v>280</v>
      </c>
      <c r="R200">
        <v>7</v>
      </c>
      <c r="S200">
        <v>1960</v>
      </c>
      <c r="T200">
        <v>1685.6</v>
      </c>
      <c r="U200">
        <v>285.59999999999991</v>
      </c>
      <c r="V200" t="str">
        <v>Dec</v>
      </c>
      <c r="W200">
        <v>2019</v>
      </c>
    </row>
    <row r="201" spans="1:23" x14ac:dyDescent="0.3">
      <c r="A201" t="s">
        <v>18</v>
      </c>
      <c r="B201" t="s">
        <v>40</v>
      </c>
      <c r="C201" t="s">
        <v>5</v>
      </c>
      <c r="D201" t="s">
        <v>27</v>
      </c>
      <c r="E201" s="1">
        <v>218</v>
      </c>
      <c r="F201" s="1">
        <v>15</v>
      </c>
      <c r="G201" s="1">
        <v>3270</v>
      </c>
      <c r="H201" s="1">
        <v>3139.2</v>
      </c>
      <c r="I201" s="1">
        <v>959.19999999999982</v>
      </c>
      <c r="J201" t="s">
        <v>21</v>
      </c>
      <c r="K201">
        <v>2019</v>
      </c>
      <c r="M201" t="str">
        <v>Government</v>
      </c>
      <c r="N201" t="str">
        <v>France</v>
      </c>
      <c r="O201" t="str">
        <v>Montana</v>
      </c>
      <c r="P201" t="str">
        <v>High</v>
      </c>
      <c r="Q201">
        <v>293</v>
      </c>
      <c r="R201">
        <v>7</v>
      </c>
      <c r="S201">
        <v>2051</v>
      </c>
      <c r="T201">
        <v>1763.8600000000001</v>
      </c>
      <c r="U201">
        <v>298.86000000000013</v>
      </c>
      <c r="V201" t="str">
        <v>Feb</v>
      </c>
      <c r="W201">
        <v>2019</v>
      </c>
    </row>
    <row r="202" spans="1:23" x14ac:dyDescent="0.3">
      <c r="A202" t="s">
        <v>6</v>
      </c>
      <c r="B202" t="s">
        <v>40</v>
      </c>
      <c r="C202" t="s">
        <v>5</v>
      </c>
      <c r="D202" t="s">
        <v>27</v>
      </c>
      <c r="E202" s="1">
        <v>2074</v>
      </c>
      <c r="F202" s="1">
        <v>20</v>
      </c>
      <c r="G202" s="1">
        <v>41480</v>
      </c>
      <c r="H202" s="1">
        <v>39820.800000000003</v>
      </c>
      <c r="I202" s="1">
        <v>19080.800000000003</v>
      </c>
      <c r="J202" t="s">
        <v>21</v>
      </c>
      <c r="K202">
        <v>2019</v>
      </c>
      <c r="M202" t="str">
        <v>Government</v>
      </c>
      <c r="N202" t="str">
        <v>Usa</v>
      </c>
      <c r="O202" t="str">
        <v>Montana</v>
      </c>
      <c r="P202" t="str">
        <v>High</v>
      </c>
      <c r="Q202">
        <v>2996</v>
      </c>
      <c r="R202">
        <v>7</v>
      </c>
      <c r="S202">
        <v>20972</v>
      </c>
      <c r="T202">
        <v>18035.919999999998</v>
      </c>
      <c r="U202">
        <v>3055.9199999999983</v>
      </c>
      <c r="V202" t="str">
        <v>Oct</v>
      </c>
      <c r="W202">
        <v>2018</v>
      </c>
    </row>
    <row r="203" spans="1:23" x14ac:dyDescent="0.3">
      <c r="A203" t="s">
        <v>6</v>
      </c>
      <c r="B203" t="s">
        <v>42</v>
      </c>
      <c r="C203" t="s">
        <v>5</v>
      </c>
      <c r="D203" t="s">
        <v>27</v>
      </c>
      <c r="E203" s="1">
        <v>1056</v>
      </c>
      <c r="F203" s="1">
        <v>20</v>
      </c>
      <c r="G203" s="1">
        <v>21120</v>
      </c>
      <c r="H203" s="1">
        <v>20275.2</v>
      </c>
      <c r="I203" s="1">
        <v>9715.2000000000007</v>
      </c>
      <c r="J203" t="s">
        <v>21</v>
      </c>
      <c r="K203">
        <v>2019</v>
      </c>
      <c r="M203" t="str">
        <v>Midmarket</v>
      </c>
      <c r="N203" t="str">
        <v>Germany</v>
      </c>
      <c r="O203" t="str">
        <v>Paseo</v>
      </c>
      <c r="P203" t="str">
        <v>High</v>
      </c>
      <c r="Q203">
        <v>278</v>
      </c>
      <c r="R203">
        <v>15</v>
      </c>
      <c r="S203">
        <v>4170</v>
      </c>
      <c r="T203">
        <v>3586.2</v>
      </c>
      <c r="U203">
        <v>806.19999999999982</v>
      </c>
      <c r="V203" t="str">
        <v>Feb</v>
      </c>
      <c r="W203">
        <v>2019</v>
      </c>
    </row>
    <row r="204" spans="1:23" x14ac:dyDescent="0.3">
      <c r="A204" t="s">
        <v>18</v>
      </c>
      <c r="B204" t="s">
        <v>42</v>
      </c>
      <c r="C204" t="s">
        <v>5</v>
      </c>
      <c r="D204" t="s">
        <v>27</v>
      </c>
      <c r="E204" s="1">
        <v>671</v>
      </c>
      <c r="F204" s="1">
        <v>15</v>
      </c>
      <c r="G204" s="1">
        <v>10065</v>
      </c>
      <c r="H204" s="1">
        <v>9662.4</v>
      </c>
      <c r="I204" s="1">
        <v>2952.3999999999996</v>
      </c>
      <c r="J204" t="s">
        <v>10</v>
      </c>
      <c r="K204">
        <v>2018</v>
      </c>
      <c r="M204" t="str">
        <v>Government</v>
      </c>
      <c r="N204" t="str">
        <v>Germany</v>
      </c>
      <c r="O204" t="str">
        <v>VTT</v>
      </c>
      <c r="P204" t="str">
        <v>High</v>
      </c>
      <c r="Q204">
        <v>280</v>
      </c>
      <c r="R204">
        <v>7</v>
      </c>
      <c r="S204">
        <v>1960</v>
      </c>
      <c r="T204">
        <v>1685.6</v>
      </c>
      <c r="U204">
        <v>285.59999999999991</v>
      </c>
      <c r="V204" t="str">
        <v>Dec</v>
      </c>
      <c r="W204">
        <v>2019</v>
      </c>
    </row>
    <row r="205" spans="1:23" x14ac:dyDescent="0.3">
      <c r="A205" t="s">
        <v>18</v>
      </c>
      <c r="B205" t="s">
        <v>9</v>
      </c>
      <c r="C205" t="s">
        <v>5</v>
      </c>
      <c r="D205" t="s">
        <v>27</v>
      </c>
      <c r="E205" s="1">
        <v>1514</v>
      </c>
      <c r="F205" s="1">
        <v>15</v>
      </c>
      <c r="G205" s="1">
        <v>22710</v>
      </c>
      <c r="H205" s="1">
        <v>21801.599999999999</v>
      </c>
      <c r="I205" s="1">
        <v>6661.5999999999985</v>
      </c>
      <c r="J205" t="s">
        <v>10</v>
      </c>
      <c r="K205">
        <v>2018</v>
      </c>
      <c r="M205" t="str">
        <v>Midmarket</v>
      </c>
      <c r="N205" t="str">
        <v>Germany</v>
      </c>
      <c r="O205" t="str">
        <v>Carretera</v>
      </c>
      <c r="P205" t="str">
        <v>High</v>
      </c>
      <c r="Q205">
        <v>1513</v>
      </c>
      <c r="R205">
        <v>15</v>
      </c>
      <c r="S205">
        <v>22695</v>
      </c>
      <c r="T205">
        <v>19517.7</v>
      </c>
      <c r="U205">
        <v>4387.7000000000007</v>
      </c>
      <c r="V205" t="str">
        <v>Nov</v>
      </c>
      <c r="W205">
        <v>2019</v>
      </c>
    </row>
    <row r="206" spans="1:23" x14ac:dyDescent="0.3">
      <c r="A206" t="s">
        <v>6</v>
      </c>
      <c r="B206" t="s">
        <v>42</v>
      </c>
      <c r="C206" t="s">
        <v>5</v>
      </c>
      <c r="D206" t="s">
        <v>27</v>
      </c>
      <c r="E206" s="1">
        <v>274</v>
      </c>
      <c r="F206" s="1">
        <v>350</v>
      </c>
      <c r="G206" s="1">
        <v>95900</v>
      </c>
      <c r="H206" s="1">
        <v>92064</v>
      </c>
      <c r="I206" s="1">
        <v>20824</v>
      </c>
      <c r="J206" t="s">
        <v>15</v>
      </c>
      <c r="K206">
        <v>2019</v>
      </c>
      <c r="M206" t="str">
        <v>Government</v>
      </c>
      <c r="N206" t="str">
        <v>Canada</v>
      </c>
      <c r="O206" t="str">
        <v>Montana</v>
      </c>
      <c r="P206" t="str">
        <v>High</v>
      </c>
      <c r="Q206">
        <v>2227.5</v>
      </c>
      <c r="R206">
        <v>350</v>
      </c>
      <c r="S206">
        <v>779625</v>
      </c>
      <c r="T206">
        <v>670477.5</v>
      </c>
      <c r="U206">
        <v>91327.5</v>
      </c>
      <c r="V206" t="str">
        <v>Jan</v>
      </c>
      <c r="W206">
        <v>2019</v>
      </c>
    </row>
    <row r="207" spans="1:23" x14ac:dyDescent="0.3">
      <c r="A207" t="s">
        <v>17</v>
      </c>
      <c r="B207" t="s">
        <v>9</v>
      </c>
      <c r="C207" t="s">
        <v>5</v>
      </c>
      <c r="D207" t="s">
        <v>27</v>
      </c>
      <c r="E207" s="1">
        <v>1138</v>
      </c>
      <c r="F207" s="1">
        <v>125</v>
      </c>
      <c r="G207" s="1">
        <v>142250</v>
      </c>
      <c r="H207" s="1">
        <v>136560</v>
      </c>
      <c r="I207" s="1">
        <v>0</v>
      </c>
      <c r="J207" t="s">
        <v>15</v>
      </c>
      <c r="K207">
        <v>2019</v>
      </c>
      <c r="M207" t="str">
        <v>Government</v>
      </c>
      <c r="N207" t="str">
        <v>Germany</v>
      </c>
      <c r="O207" t="str">
        <v>Montana</v>
      </c>
      <c r="P207" t="str">
        <v>High</v>
      </c>
      <c r="Q207">
        <v>1199</v>
      </c>
      <c r="R207">
        <v>350</v>
      </c>
      <c r="S207">
        <v>419650</v>
      </c>
      <c r="T207">
        <v>360899</v>
      </c>
      <c r="U207">
        <v>49159</v>
      </c>
      <c r="V207" t="str">
        <v>Apr</v>
      </c>
      <c r="W207">
        <v>2019</v>
      </c>
    </row>
    <row r="208" spans="1:23" x14ac:dyDescent="0.3">
      <c r="A208" t="s">
        <v>3</v>
      </c>
      <c r="B208" t="s">
        <v>42</v>
      </c>
      <c r="C208" t="s">
        <v>20</v>
      </c>
      <c r="D208" t="s">
        <v>27</v>
      </c>
      <c r="E208" s="1">
        <v>1465</v>
      </c>
      <c r="F208" s="1">
        <v>12</v>
      </c>
      <c r="G208" s="1">
        <v>17580</v>
      </c>
      <c r="H208" s="1">
        <v>16876.8</v>
      </c>
      <c r="I208" s="1">
        <v>12481.8</v>
      </c>
      <c r="J208" t="s">
        <v>13</v>
      </c>
      <c r="K208">
        <v>2019</v>
      </c>
      <c r="M208" t="str">
        <v>Government</v>
      </c>
      <c r="N208" t="str">
        <v>Canada</v>
      </c>
      <c r="O208" t="str">
        <v>Montana</v>
      </c>
      <c r="P208" t="str">
        <v>High</v>
      </c>
      <c r="Q208">
        <v>200</v>
      </c>
      <c r="R208">
        <v>350</v>
      </c>
      <c r="S208">
        <v>70000</v>
      </c>
      <c r="T208">
        <v>60200</v>
      </c>
      <c r="U208">
        <v>8200</v>
      </c>
      <c r="V208" t="str">
        <v>May</v>
      </c>
      <c r="W208">
        <v>2019</v>
      </c>
    </row>
    <row r="209" spans="1:23" x14ac:dyDescent="0.3">
      <c r="A209" t="s">
        <v>6</v>
      </c>
      <c r="B209" t="s">
        <v>40</v>
      </c>
      <c r="C209" t="s">
        <v>20</v>
      </c>
      <c r="D209" t="s">
        <v>27</v>
      </c>
      <c r="E209" s="1">
        <v>2646</v>
      </c>
      <c r="F209" s="1">
        <v>20</v>
      </c>
      <c r="G209" s="1">
        <v>52920</v>
      </c>
      <c r="H209" s="1">
        <v>50803.199999999997</v>
      </c>
      <c r="I209" s="1">
        <v>24343.199999999997</v>
      </c>
      <c r="J209" t="s">
        <v>21</v>
      </c>
      <c r="K209">
        <v>2018</v>
      </c>
      <c r="M209" t="str">
        <v>Government</v>
      </c>
      <c r="N209" t="str">
        <v>Canada</v>
      </c>
      <c r="O209" t="str">
        <v>Montana</v>
      </c>
      <c r="P209" t="str">
        <v>High</v>
      </c>
      <c r="Q209">
        <v>388</v>
      </c>
      <c r="R209">
        <v>7</v>
      </c>
      <c r="S209">
        <v>2716</v>
      </c>
      <c r="T209">
        <v>2335.7600000000002</v>
      </c>
      <c r="U209">
        <v>395.76000000000022</v>
      </c>
      <c r="V209" t="str">
        <v>Sep</v>
      </c>
      <c r="W209">
        <v>2019</v>
      </c>
    </row>
    <row r="210" spans="1:23" x14ac:dyDescent="0.3">
      <c r="A210" t="s">
        <v>6</v>
      </c>
      <c r="B210" t="s">
        <v>14</v>
      </c>
      <c r="C210" t="s">
        <v>20</v>
      </c>
      <c r="D210" t="s">
        <v>27</v>
      </c>
      <c r="E210" s="1">
        <v>2177</v>
      </c>
      <c r="F210" s="1">
        <v>350</v>
      </c>
      <c r="G210" s="1">
        <v>761950</v>
      </c>
      <c r="H210" s="1">
        <v>731472</v>
      </c>
      <c r="I210" s="1">
        <v>165452</v>
      </c>
      <c r="J210" t="s">
        <v>10</v>
      </c>
      <c r="K210">
        <v>2019</v>
      </c>
      <c r="M210" t="str">
        <v>Government</v>
      </c>
      <c r="N210" t="str">
        <v>Mexico</v>
      </c>
      <c r="O210" t="str">
        <v>Montana</v>
      </c>
      <c r="P210" t="str">
        <v>High</v>
      </c>
      <c r="Q210">
        <v>1727</v>
      </c>
      <c r="R210">
        <v>7</v>
      </c>
      <c r="S210">
        <v>12089</v>
      </c>
      <c r="T210">
        <v>10396.540000000001</v>
      </c>
      <c r="U210">
        <v>1761.5400000000009</v>
      </c>
      <c r="V210" t="str">
        <v>Oct</v>
      </c>
      <c r="W210">
        <v>2018</v>
      </c>
    </row>
    <row r="211" spans="1:23" x14ac:dyDescent="0.3">
      <c r="A211" t="s">
        <v>3</v>
      </c>
      <c r="B211" t="s">
        <v>14</v>
      </c>
      <c r="C211" t="s">
        <v>2</v>
      </c>
      <c r="D211" t="s">
        <v>27</v>
      </c>
      <c r="E211" s="1">
        <v>866</v>
      </c>
      <c r="F211" s="1">
        <v>12</v>
      </c>
      <c r="G211" s="1">
        <v>10392</v>
      </c>
      <c r="H211" s="1">
        <v>9976.32</v>
      </c>
      <c r="I211" s="1">
        <v>7378.32</v>
      </c>
      <c r="J211" t="s">
        <v>0</v>
      </c>
      <c r="K211">
        <v>2019</v>
      </c>
      <c r="M211" t="str">
        <v>Midmarket</v>
      </c>
      <c r="N211" t="str">
        <v>Canada</v>
      </c>
      <c r="O211" t="str">
        <v>Montana</v>
      </c>
      <c r="P211" t="str">
        <v>High</v>
      </c>
      <c r="Q211">
        <v>2300</v>
      </c>
      <c r="R211">
        <v>15</v>
      </c>
      <c r="S211">
        <v>34500</v>
      </c>
      <c r="T211">
        <v>29670</v>
      </c>
      <c r="U211">
        <v>6670</v>
      </c>
      <c r="V211" t="str">
        <v>Dec</v>
      </c>
      <c r="W211">
        <v>2019</v>
      </c>
    </row>
    <row r="212" spans="1:23" x14ac:dyDescent="0.3">
      <c r="A212" t="s">
        <v>6</v>
      </c>
      <c r="B212" t="s">
        <v>42</v>
      </c>
      <c r="C212" t="s">
        <v>2</v>
      </c>
      <c r="D212" t="s">
        <v>27</v>
      </c>
      <c r="E212" s="1">
        <v>349</v>
      </c>
      <c r="F212" s="1">
        <v>350</v>
      </c>
      <c r="G212" s="1">
        <v>122150</v>
      </c>
      <c r="H212" s="1">
        <v>117264</v>
      </c>
      <c r="I212" s="1">
        <v>26524</v>
      </c>
      <c r="J212" t="s">
        <v>21</v>
      </c>
      <c r="K212">
        <v>2018</v>
      </c>
      <c r="M212" t="str">
        <v>Small Business</v>
      </c>
      <c r="N212" t="str">
        <v>Germany</v>
      </c>
      <c r="O212" t="str">
        <v>Velo</v>
      </c>
      <c r="P212" t="str">
        <v>High</v>
      </c>
      <c r="Q212">
        <v>2536</v>
      </c>
      <c r="R212">
        <v>300</v>
      </c>
      <c r="S212">
        <v>760800</v>
      </c>
      <c r="T212">
        <v>654288</v>
      </c>
      <c r="U212">
        <v>20288</v>
      </c>
      <c r="V212" t="str">
        <v>Nov</v>
      </c>
      <c r="W212">
        <v>2018</v>
      </c>
    </row>
    <row r="213" spans="1:23" x14ac:dyDescent="0.3">
      <c r="A213" t="s">
        <v>6</v>
      </c>
      <c r="B213" t="s">
        <v>14</v>
      </c>
      <c r="C213" t="s">
        <v>2</v>
      </c>
      <c r="D213" t="s">
        <v>27</v>
      </c>
      <c r="E213" s="1">
        <v>2177</v>
      </c>
      <c r="F213" s="1">
        <v>350</v>
      </c>
      <c r="G213" s="1">
        <v>761950</v>
      </c>
      <c r="H213" s="1">
        <v>731472</v>
      </c>
      <c r="I213" s="1">
        <v>165452</v>
      </c>
      <c r="J213" t="s">
        <v>10</v>
      </c>
      <c r="K213">
        <v>2019</v>
      </c>
      <c r="M213" t="str">
        <v>Enterprise</v>
      </c>
      <c r="N213" t="str">
        <v>Germany</v>
      </c>
      <c r="O213" t="str">
        <v>Carretera</v>
      </c>
      <c r="P213" t="str">
        <v>High</v>
      </c>
      <c r="Q213">
        <v>2767</v>
      </c>
      <c r="R213">
        <v>125</v>
      </c>
      <c r="S213">
        <v>345875</v>
      </c>
      <c r="T213">
        <v>293993.75</v>
      </c>
      <c r="U213">
        <v>-38046.25</v>
      </c>
      <c r="V213" t="str">
        <v>Aug</v>
      </c>
      <c r="W213">
        <v>2019</v>
      </c>
    </row>
    <row r="214" spans="1:23" x14ac:dyDescent="0.3">
      <c r="A214" t="s">
        <v>18</v>
      </c>
      <c r="B214" t="s">
        <v>9</v>
      </c>
      <c r="C214" t="s">
        <v>2</v>
      </c>
      <c r="D214" t="s">
        <v>27</v>
      </c>
      <c r="E214" s="1">
        <v>1514</v>
      </c>
      <c r="F214" s="1">
        <v>15</v>
      </c>
      <c r="G214" s="1">
        <v>22710</v>
      </c>
      <c r="H214" s="1">
        <v>21801.599999999999</v>
      </c>
      <c r="I214" s="1">
        <v>6661.5999999999985</v>
      </c>
      <c r="J214" t="s">
        <v>10</v>
      </c>
      <c r="K214">
        <v>2018</v>
      </c>
      <c r="M214" t="str">
        <v>Enterprise</v>
      </c>
      <c r="N214" t="str">
        <v>Germany</v>
      </c>
      <c r="O214" t="str">
        <v>Carretera</v>
      </c>
      <c r="P214" t="str">
        <v>High</v>
      </c>
      <c r="Q214">
        <v>1085</v>
      </c>
      <c r="R214">
        <v>125</v>
      </c>
      <c r="S214">
        <v>135625</v>
      </c>
      <c r="T214">
        <v>115281.25</v>
      </c>
      <c r="U214">
        <v>-14918.75</v>
      </c>
      <c r="V214" t="str">
        <v>Oct</v>
      </c>
      <c r="W214">
        <v>2019</v>
      </c>
    </row>
    <row r="215" spans="1:23" x14ac:dyDescent="0.3">
      <c r="A215" t="s">
        <v>6</v>
      </c>
      <c r="B215" t="s">
        <v>9</v>
      </c>
      <c r="C215" t="s">
        <v>11</v>
      </c>
      <c r="D215" t="s">
        <v>27</v>
      </c>
      <c r="E215" s="1">
        <v>1865</v>
      </c>
      <c r="F215" s="1">
        <v>350</v>
      </c>
      <c r="G215" s="1">
        <v>652750</v>
      </c>
      <c r="H215" s="1">
        <v>626640</v>
      </c>
      <c r="I215" s="1">
        <v>141740</v>
      </c>
      <c r="J215" t="s">
        <v>7</v>
      </c>
      <c r="K215">
        <v>2019</v>
      </c>
      <c r="M215" t="str">
        <v>Small Business</v>
      </c>
      <c r="N215" t="str">
        <v>Mexico</v>
      </c>
      <c r="O215" t="str">
        <v>Montana</v>
      </c>
      <c r="P215" t="str">
        <v>High</v>
      </c>
      <c r="Q215">
        <v>546</v>
      </c>
      <c r="R215">
        <v>300</v>
      </c>
      <c r="S215">
        <v>163800</v>
      </c>
      <c r="T215">
        <v>139230</v>
      </c>
      <c r="U215">
        <v>2730</v>
      </c>
      <c r="V215" t="str">
        <v>Oct</v>
      </c>
      <c r="W215">
        <v>2019</v>
      </c>
    </row>
    <row r="216" spans="1:23" x14ac:dyDescent="0.3">
      <c r="A216" t="s">
        <v>17</v>
      </c>
      <c r="B216" t="s">
        <v>9</v>
      </c>
      <c r="C216" t="s">
        <v>11</v>
      </c>
      <c r="D216" t="s">
        <v>27</v>
      </c>
      <c r="E216" s="1">
        <v>1074</v>
      </c>
      <c r="F216" s="1">
        <v>125</v>
      </c>
      <c r="G216" s="1">
        <v>134250</v>
      </c>
      <c r="H216" s="1">
        <v>128880</v>
      </c>
      <c r="I216" s="1">
        <v>0</v>
      </c>
      <c r="J216" t="s">
        <v>4</v>
      </c>
      <c r="K216">
        <v>2019</v>
      </c>
      <c r="M216" t="str">
        <v>Government</v>
      </c>
      <c r="N216" t="str">
        <v>Germany</v>
      </c>
      <c r="O216" t="str">
        <v>Paseo</v>
      </c>
      <c r="P216" t="str">
        <v>High</v>
      </c>
      <c r="Q216">
        <v>1158</v>
      </c>
      <c r="R216">
        <v>20</v>
      </c>
      <c r="S216">
        <v>23160</v>
      </c>
      <c r="T216">
        <v>19686</v>
      </c>
      <c r="U216">
        <v>8106</v>
      </c>
      <c r="V216" t="str">
        <v>Mar</v>
      </c>
      <c r="W216">
        <v>2019</v>
      </c>
    </row>
    <row r="217" spans="1:23" x14ac:dyDescent="0.3">
      <c r="A217" t="s">
        <v>6</v>
      </c>
      <c r="B217" t="s">
        <v>41</v>
      </c>
      <c r="C217" t="s">
        <v>11</v>
      </c>
      <c r="D217" t="s">
        <v>27</v>
      </c>
      <c r="E217" s="1">
        <v>1907</v>
      </c>
      <c r="F217" s="1">
        <v>350</v>
      </c>
      <c r="G217" s="1">
        <v>667450</v>
      </c>
      <c r="H217" s="1">
        <v>640752</v>
      </c>
      <c r="I217" s="1">
        <v>144932</v>
      </c>
      <c r="J217" t="s">
        <v>21</v>
      </c>
      <c r="K217">
        <v>2019</v>
      </c>
      <c r="M217" t="str">
        <v>Enterprise</v>
      </c>
      <c r="N217" t="str">
        <v>Germany</v>
      </c>
      <c r="O217" t="str">
        <v>Paseo</v>
      </c>
      <c r="P217" t="str">
        <v>High</v>
      </c>
      <c r="Q217">
        <v>1085</v>
      </c>
      <c r="R217">
        <v>125</v>
      </c>
      <c r="S217">
        <v>135625</v>
      </c>
      <c r="T217">
        <v>115281.25</v>
      </c>
      <c r="U217">
        <v>-14918.75</v>
      </c>
      <c r="V217" t="str">
        <v>Oct</v>
      </c>
      <c r="W217">
        <v>2019</v>
      </c>
    </row>
    <row r="218" spans="1:23" x14ac:dyDescent="0.3">
      <c r="A218" t="s">
        <v>18</v>
      </c>
      <c r="B218" t="s">
        <v>42</v>
      </c>
      <c r="C218" t="s">
        <v>11</v>
      </c>
      <c r="D218" t="s">
        <v>27</v>
      </c>
      <c r="E218" s="1">
        <v>671</v>
      </c>
      <c r="F218" s="1">
        <v>15</v>
      </c>
      <c r="G218" s="1">
        <v>10065</v>
      </c>
      <c r="H218" s="1">
        <v>9662.4</v>
      </c>
      <c r="I218" s="1">
        <v>2952.3999999999996</v>
      </c>
      <c r="J218" t="s">
        <v>10</v>
      </c>
      <c r="K218">
        <v>2018</v>
      </c>
      <c r="M218" t="str">
        <v>Midmarket</v>
      </c>
      <c r="N218" t="str">
        <v>Germany</v>
      </c>
      <c r="O218" t="str">
        <v>Paseo</v>
      </c>
      <c r="P218" t="str">
        <v>High</v>
      </c>
      <c r="Q218">
        <v>1175</v>
      </c>
      <c r="R218">
        <v>15</v>
      </c>
      <c r="S218">
        <v>17625</v>
      </c>
      <c r="T218">
        <v>14981.25</v>
      </c>
      <c r="U218">
        <v>3231.25</v>
      </c>
      <c r="V218" t="str">
        <v>Oct</v>
      </c>
      <c r="W218">
        <v>2019</v>
      </c>
    </row>
    <row r="219" spans="1:23" x14ac:dyDescent="0.3">
      <c r="A219" t="s">
        <v>6</v>
      </c>
      <c r="B219" t="s">
        <v>40</v>
      </c>
      <c r="C219" t="s">
        <v>11</v>
      </c>
      <c r="D219" t="s">
        <v>27</v>
      </c>
      <c r="E219" s="1">
        <v>1778</v>
      </c>
      <c r="F219" s="1">
        <v>350</v>
      </c>
      <c r="G219" s="1">
        <v>622300</v>
      </c>
      <c r="H219" s="1">
        <v>597408</v>
      </c>
      <c r="I219" s="1">
        <v>135128</v>
      </c>
      <c r="J219" t="s">
        <v>15</v>
      </c>
      <c r="K219">
        <v>2018</v>
      </c>
      <c r="M219" t="str">
        <v>Midmarket</v>
      </c>
      <c r="N219" t="str">
        <v>Germany</v>
      </c>
      <c r="O219" t="str">
        <v>VTT</v>
      </c>
      <c r="P219" t="str">
        <v>High</v>
      </c>
      <c r="Q219">
        <v>492</v>
      </c>
      <c r="R219">
        <v>15</v>
      </c>
      <c r="S219">
        <v>7380</v>
      </c>
      <c r="T219">
        <v>6273</v>
      </c>
      <c r="U219">
        <v>1353</v>
      </c>
      <c r="V219" t="str">
        <v>Jul</v>
      </c>
      <c r="W219">
        <v>2019</v>
      </c>
    </row>
    <row r="220" spans="1:23" x14ac:dyDescent="0.3">
      <c r="A220" t="s">
        <v>6</v>
      </c>
      <c r="B220" t="s">
        <v>41</v>
      </c>
      <c r="C220" t="s">
        <v>8</v>
      </c>
      <c r="D220" t="s">
        <v>26</v>
      </c>
      <c r="E220" s="1">
        <v>1159</v>
      </c>
      <c r="F220" s="1">
        <v>7</v>
      </c>
      <c r="G220" s="1">
        <v>8113</v>
      </c>
      <c r="H220" s="1">
        <v>7707.35</v>
      </c>
      <c r="I220" s="1">
        <v>1912.3500000000004</v>
      </c>
      <c r="J220" t="s">
        <v>10</v>
      </c>
      <c r="K220">
        <v>2018</v>
      </c>
      <c r="M220" t="str">
        <v>Midmarket</v>
      </c>
      <c r="N220" t="str">
        <v>Germany</v>
      </c>
      <c r="O220" t="str">
        <v>VTT</v>
      </c>
      <c r="P220" t="str">
        <v>High</v>
      </c>
      <c r="Q220">
        <v>1175</v>
      </c>
      <c r="R220">
        <v>15</v>
      </c>
      <c r="S220">
        <v>17625</v>
      </c>
      <c r="T220">
        <v>14981.25</v>
      </c>
      <c r="U220">
        <v>3231.25</v>
      </c>
      <c r="V220" t="str">
        <v>Oct</v>
      </c>
      <c r="W220">
        <v>2019</v>
      </c>
    </row>
    <row r="221" spans="1:23" x14ac:dyDescent="0.3">
      <c r="A221" t="s">
        <v>6</v>
      </c>
      <c r="B221" t="s">
        <v>41</v>
      </c>
      <c r="C221" t="s">
        <v>5</v>
      </c>
      <c r="D221" t="s">
        <v>26</v>
      </c>
      <c r="E221" s="1">
        <v>1372</v>
      </c>
      <c r="F221" s="1">
        <v>7</v>
      </c>
      <c r="G221" s="1">
        <v>9604</v>
      </c>
      <c r="H221" s="1">
        <v>9123.7999999999993</v>
      </c>
      <c r="I221" s="1">
        <v>2263.7999999999993</v>
      </c>
      <c r="J221" t="s">
        <v>24</v>
      </c>
      <c r="K221">
        <v>2019</v>
      </c>
      <c r="M221" t="str">
        <v>Enterprise</v>
      </c>
      <c r="N221" t="str">
        <v>Germany</v>
      </c>
      <c r="O221" t="str">
        <v>VTT</v>
      </c>
      <c r="P221" t="str">
        <v>High</v>
      </c>
      <c r="Q221">
        <v>552</v>
      </c>
      <c r="R221">
        <v>125</v>
      </c>
      <c r="S221">
        <v>69000</v>
      </c>
      <c r="T221">
        <v>58650</v>
      </c>
      <c r="U221">
        <v>-7590</v>
      </c>
      <c r="V221" t="str">
        <v>Nov</v>
      </c>
      <c r="W221">
        <v>2019</v>
      </c>
    </row>
    <row r="222" spans="1:23" x14ac:dyDescent="0.3">
      <c r="A222" t="s">
        <v>6</v>
      </c>
      <c r="B222" t="s">
        <v>40</v>
      </c>
      <c r="C222" t="s">
        <v>5</v>
      </c>
      <c r="D222" t="s">
        <v>26</v>
      </c>
      <c r="E222" s="1">
        <v>2349</v>
      </c>
      <c r="F222" s="1">
        <v>7</v>
      </c>
      <c r="G222" s="1">
        <v>16443</v>
      </c>
      <c r="H222" s="1">
        <v>15620.85</v>
      </c>
      <c r="I222" s="1">
        <v>3875.8500000000004</v>
      </c>
      <c r="J222" t="s">
        <v>21</v>
      </c>
      <c r="K222">
        <v>2018</v>
      </c>
      <c r="M222" t="str">
        <v>Government</v>
      </c>
      <c r="N222" t="str">
        <v>Mexico</v>
      </c>
      <c r="O222" t="str">
        <v>Montana</v>
      </c>
      <c r="P222" t="str">
        <v>High</v>
      </c>
      <c r="Q222">
        <v>1368</v>
      </c>
      <c r="R222">
        <v>7</v>
      </c>
      <c r="S222">
        <v>9576</v>
      </c>
      <c r="T222">
        <v>8139.6</v>
      </c>
      <c r="U222">
        <v>1299.6000000000004</v>
      </c>
      <c r="V222" t="str">
        <v>Feb</v>
      </c>
      <c r="W222">
        <v>2019</v>
      </c>
    </row>
    <row r="223" spans="1:23" x14ac:dyDescent="0.3">
      <c r="A223" t="s">
        <v>6</v>
      </c>
      <c r="B223" t="s">
        <v>9</v>
      </c>
      <c r="C223" t="s">
        <v>5</v>
      </c>
      <c r="D223" t="s">
        <v>26</v>
      </c>
      <c r="E223" s="1">
        <v>2689</v>
      </c>
      <c r="F223" s="1">
        <v>7</v>
      </c>
      <c r="G223" s="1">
        <v>18823</v>
      </c>
      <c r="H223" s="1">
        <v>17881.849999999999</v>
      </c>
      <c r="I223" s="1">
        <v>4436.8499999999985</v>
      </c>
      <c r="J223" t="s">
        <v>10</v>
      </c>
      <c r="K223">
        <v>2019</v>
      </c>
    </row>
    <row r="224" spans="1:23" x14ac:dyDescent="0.3">
      <c r="A224" t="s">
        <v>3</v>
      </c>
      <c r="B224" t="s">
        <v>40</v>
      </c>
      <c r="C224" t="s">
        <v>5</v>
      </c>
      <c r="D224" t="s">
        <v>26</v>
      </c>
      <c r="E224" s="1">
        <v>2431</v>
      </c>
      <c r="F224" s="1">
        <v>12</v>
      </c>
      <c r="G224" s="1">
        <v>29172</v>
      </c>
      <c r="H224" s="1">
        <v>27713.4</v>
      </c>
      <c r="I224" s="1">
        <v>20420.400000000001</v>
      </c>
      <c r="J224" t="s">
        <v>15</v>
      </c>
      <c r="K224">
        <v>2019</v>
      </c>
    </row>
    <row r="225" spans="1:11" x14ac:dyDescent="0.3">
      <c r="A225" t="s">
        <v>3</v>
      </c>
      <c r="B225" t="s">
        <v>40</v>
      </c>
      <c r="C225" t="s">
        <v>20</v>
      </c>
      <c r="D225" t="s">
        <v>26</v>
      </c>
      <c r="E225" s="1">
        <v>2431</v>
      </c>
      <c r="F225" s="1">
        <v>12</v>
      </c>
      <c r="G225" s="1">
        <v>29172</v>
      </c>
      <c r="H225" s="1">
        <v>27713.4</v>
      </c>
      <c r="I225" s="1">
        <v>20420.400000000001</v>
      </c>
      <c r="J225" t="s">
        <v>15</v>
      </c>
      <c r="K225">
        <v>2019</v>
      </c>
    </row>
    <row r="226" spans="1:11" x14ac:dyDescent="0.3">
      <c r="A226" t="s">
        <v>6</v>
      </c>
      <c r="B226" t="s">
        <v>9</v>
      </c>
      <c r="C226" t="s">
        <v>2</v>
      </c>
      <c r="D226" t="s">
        <v>26</v>
      </c>
      <c r="E226" s="1">
        <v>2689</v>
      </c>
      <c r="F226" s="1">
        <v>7</v>
      </c>
      <c r="G226" s="1">
        <v>18823</v>
      </c>
      <c r="H226" s="1">
        <v>17881.849999999999</v>
      </c>
      <c r="I226" s="1">
        <v>4436.8499999999985</v>
      </c>
      <c r="J226" t="s">
        <v>10</v>
      </c>
      <c r="K226">
        <v>2019</v>
      </c>
    </row>
    <row r="227" spans="1:11" x14ac:dyDescent="0.3">
      <c r="A227" t="s">
        <v>6</v>
      </c>
      <c r="B227" t="s">
        <v>9</v>
      </c>
      <c r="C227" t="s">
        <v>11</v>
      </c>
      <c r="D227" t="s">
        <v>26</v>
      </c>
      <c r="E227" s="1">
        <v>1683</v>
      </c>
      <c r="F227" s="1">
        <v>7</v>
      </c>
      <c r="G227" s="1">
        <v>11781</v>
      </c>
      <c r="H227" s="1">
        <v>11191.95</v>
      </c>
      <c r="I227" s="1">
        <v>2776.9500000000007</v>
      </c>
      <c r="J227" t="s">
        <v>19</v>
      </c>
      <c r="K227">
        <v>2019</v>
      </c>
    </row>
    <row r="228" spans="1:11" x14ac:dyDescent="0.3">
      <c r="A228" t="s">
        <v>3</v>
      </c>
      <c r="B228" t="s">
        <v>9</v>
      </c>
      <c r="C228" t="s">
        <v>11</v>
      </c>
      <c r="D228" t="s">
        <v>26</v>
      </c>
      <c r="E228" s="1">
        <v>1123</v>
      </c>
      <c r="F228" s="1">
        <v>12</v>
      </c>
      <c r="G228" s="1">
        <v>13476</v>
      </c>
      <c r="H228" s="1">
        <v>12802.2</v>
      </c>
      <c r="I228" s="1">
        <v>9433.2000000000007</v>
      </c>
      <c r="J228" t="s">
        <v>22</v>
      </c>
      <c r="K228">
        <v>2019</v>
      </c>
    </row>
    <row r="229" spans="1:11" x14ac:dyDescent="0.3">
      <c r="A229" t="s">
        <v>6</v>
      </c>
      <c r="B229" t="s">
        <v>41</v>
      </c>
      <c r="C229" t="s">
        <v>11</v>
      </c>
      <c r="D229" t="s">
        <v>26</v>
      </c>
      <c r="E229" s="1">
        <v>1159</v>
      </c>
      <c r="F229" s="1">
        <v>7</v>
      </c>
      <c r="G229" s="1">
        <v>8113</v>
      </c>
      <c r="H229" s="1">
        <v>7707.35</v>
      </c>
      <c r="I229" s="1">
        <v>1912.3500000000004</v>
      </c>
      <c r="J229" t="s">
        <v>10</v>
      </c>
      <c r="K229">
        <v>2018</v>
      </c>
    </row>
    <row r="230" spans="1:11" x14ac:dyDescent="0.3">
      <c r="A230" t="s">
        <v>3</v>
      </c>
      <c r="B230" t="s">
        <v>14</v>
      </c>
      <c r="C230" t="s">
        <v>23</v>
      </c>
      <c r="D230" t="s">
        <v>26</v>
      </c>
      <c r="E230" s="1">
        <v>1865</v>
      </c>
      <c r="F230" s="1">
        <v>12</v>
      </c>
      <c r="G230" s="1">
        <v>22380</v>
      </c>
      <c r="H230" s="1">
        <v>21261</v>
      </c>
      <c r="I230" s="1">
        <v>15666</v>
      </c>
      <c r="J230" t="s">
        <v>7</v>
      </c>
      <c r="K230">
        <v>2019</v>
      </c>
    </row>
    <row r="231" spans="1:11" x14ac:dyDescent="0.3">
      <c r="A231" t="s">
        <v>3</v>
      </c>
      <c r="B231" t="s">
        <v>41</v>
      </c>
      <c r="C231" t="s">
        <v>23</v>
      </c>
      <c r="D231" t="s">
        <v>26</v>
      </c>
      <c r="E231" s="1">
        <v>1116</v>
      </c>
      <c r="F231" s="1">
        <v>12</v>
      </c>
      <c r="G231" s="1">
        <v>13392</v>
      </c>
      <c r="H231" s="1">
        <v>12722.4</v>
      </c>
      <c r="I231" s="1">
        <v>9374.4</v>
      </c>
      <c r="J231" t="s">
        <v>7</v>
      </c>
      <c r="K231">
        <v>2019</v>
      </c>
    </row>
    <row r="232" spans="1:11" x14ac:dyDescent="0.3">
      <c r="A232" t="s">
        <v>6</v>
      </c>
      <c r="B232" t="s">
        <v>14</v>
      </c>
      <c r="C232" t="s">
        <v>23</v>
      </c>
      <c r="D232" t="s">
        <v>26</v>
      </c>
      <c r="E232" s="1">
        <v>1563</v>
      </c>
      <c r="F232" s="1">
        <v>20</v>
      </c>
      <c r="G232" s="1">
        <v>31260</v>
      </c>
      <c r="H232" s="1">
        <v>29697</v>
      </c>
      <c r="I232" s="1">
        <v>14067</v>
      </c>
      <c r="J232" t="s">
        <v>0</v>
      </c>
      <c r="K232">
        <v>2019</v>
      </c>
    </row>
    <row r="233" spans="1:11" x14ac:dyDescent="0.3">
      <c r="A233" t="s">
        <v>12</v>
      </c>
      <c r="B233" t="s">
        <v>42</v>
      </c>
      <c r="C233" t="s">
        <v>23</v>
      </c>
      <c r="D233" t="s">
        <v>26</v>
      </c>
      <c r="E233" s="1">
        <v>991</v>
      </c>
      <c r="F233" s="1">
        <v>300</v>
      </c>
      <c r="G233" s="1">
        <v>297300</v>
      </c>
      <c r="H233" s="1">
        <v>282435</v>
      </c>
      <c r="I233" s="1">
        <v>34685</v>
      </c>
      <c r="J233" t="s">
        <v>25</v>
      </c>
      <c r="K233">
        <v>2019</v>
      </c>
    </row>
    <row r="234" spans="1:11" x14ac:dyDescent="0.3">
      <c r="A234" t="s">
        <v>6</v>
      </c>
      <c r="B234" t="s">
        <v>41</v>
      </c>
      <c r="C234" t="s">
        <v>23</v>
      </c>
      <c r="D234" t="s">
        <v>26</v>
      </c>
      <c r="E234" s="1">
        <v>1016</v>
      </c>
      <c r="F234" s="1">
        <v>7</v>
      </c>
      <c r="G234" s="1">
        <v>7112</v>
      </c>
      <c r="H234" s="1">
        <v>6756.4</v>
      </c>
      <c r="I234" s="1">
        <v>1676.3999999999996</v>
      </c>
      <c r="J234" t="s">
        <v>16</v>
      </c>
      <c r="K234">
        <v>2018</v>
      </c>
    </row>
    <row r="235" spans="1:11" x14ac:dyDescent="0.3">
      <c r="A235" t="s">
        <v>18</v>
      </c>
      <c r="B235" t="s">
        <v>9</v>
      </c>
      <c r="C235" t="s">
        <v>23</v>
      </c>
      <c r="D235" t="s">
        <v>26</v>
      </c>
      <c r="E235" s="1">
        <v>2791</v>
      </c>
      <c r="F235" s="1">
        <v>15</v>
      </c>
      <c r="G235" s="1">
        <v>41865</v>
      </c>
      <c r="H235" s="1">
        <v>39771.75</v>
      </c>
      <c r="I235" s="1">
        <v>11861.75</v>
      </c>
      <c r="J235" t="s">
        <v>16</v>
      </c>
      <c r="K235">
        <v>2019</v>
      </c>
    </row>
    <row r="236" spans="1:11" x14ac:dyDescent="0.3">
      <c r="A236" t="s">
        <v>6</v>
      </c>
      <c r="B236" t="s">
        <v>42</v>
      </c>
      <c r="C236" t="s">
        <v>23</v>
      </c>
      <c r="D236" t="s">
        <v>26</v>
      </c>
      <c r="E236" s="1">
        <v>570</v>
      </c>
      <c r="F236" s="1">
        <v>7</v>
      </c>
      <c r="G236" s="1">
        <v>3990</v>
      </c>
      <c r="H236" s="1">
        <v>3790.5</v>
      </c>
      <c r="I236" s="1">
        <v>940.5</v>
      </c>
      <c r="J236" t="s">
        <v>15</v>
      </c>
      <c r="K236">
        <v>2019</v>
      </c>
    </row>
    <row r="237" spans="1:11" x14ac:dyDescent="0.3">
      <c r="A237" t="s">
        <v>6</v>
      </c>
      <c r="B237" t="s">
        <v>14</v>
      </c>
      <c r="C237" t="s">
        <v>23</v>
      </c>
      <c r="D237" t="s">
        <v>26</v>
      </c>
      <c r="E237" s="1">
        <v>2487</v>
      </c>
      <c r="F237" s="1">
        <v>7</v>
      </c>
      <c r="G237" s="1">
        <v>17409</v>
      </c>
      <c r="H237" s="1">
        <v>16538.55</v>
      </c>
      <c r="I237" s="1">
        <v>4103.5499999999993</v>
      </c>
      <c r="J237" t="s">
        <v>15</v>
      </c>
      <c r="K237">
        <v>2019</v>
      </c>
    </row>
    <row r="238" spans="1:11" x14ac:dyDescent="0.3">
      <c r="A238" t="s">
        <v>6</v>
      </c>
      <c r="B238" t="s">
        <v>14</v>
      </c>
      <c r="C238" t="s">
        <v>8</v>
      </c>
      <c r="D238" t="s">
        <v>26</v>
      </c>
      <c r="E238" s="1">
        <v>1384.5</v>
      </c>
      <c r="F238" s="1">
        <v>350</v>
      </c>
      <c r="G238" s="1">
        <v>484575</v>
      </c>
      <c r="H238" s="1">
        <v>460346.25</v>
      </c>
      <c r="I238" s="1">
        <v>100376.25</v>
      </c>
      <c r="J238" t="s">
        <v>24</v>
      </c>
      <c r="K238">
        <v>2019</v>
      </c>
    </row>
    <row r="239" spans="1:11" x14ac:dyDescent="0.3">
      <c r="A239" t="s">
        <v>17</v>
      </c>
      <c r="B239" t="s">
        <v>42</v>
      </c>
      <c r="C239" t="s">
        <v>8</v>
      </c>
      <c r="D239" t="s">
        <v>26</v>
      </c>
      <c r="E239" s="1">
        <v>3627</v>
      </c>
      <c r="F239" s="1">
        <v>125</v>
      </c>
      <c r="G239" s="1">
        <v>453375</v>
      </c>
      <c r="H239" s="1">
        <v>430706.25</v>
      </c>
      <c r="I239" s="1">
        <v>-4533.75</v>
      </c>
      <c r="J239" t="s">
        <v>19</v>
      </c>
      <c r="K239">
        <v>2019</v>
      </c>
    </row>
    <row r="240" spans="1:11" x14ac:dyDescent="0.3">
      <c r="A240" t="s">
        <v>6</v>
      </c>
      <c r="B240" t="s">
        <v>9</v>
      </c>
      <c r="C240" t="s">
        <v>8</v>
      </c>
      <c r="D240" t="s">
        <v>26</v>
      </c>
      <c r="E240" s="1">
        <v>720</v>
      </c>
      <c r="F240" s="1">
        <v>350</v>
      </c>
      <c r="G240" s="1">
        <v>252000</v>
      </c>
      <c r="H240" s="1">
        <v>239400</v>
      </c>
      <c r="I240" s="1">
        <v>52200</v>
      </c>
      <c r="J240" t="s">
        <v>21</v>
      </c>
      <c r="K240">
        <v>2018</v>
      </c>
    </row>
    <row r="241" spans="1:11" x14ac:dyDescent="0.3">
      <c r="A241" t="s">
        <v>3</v>
      </c>
      <c r="B241" t="s">
        <v>41</v>
      </c>
      <c r="C241" t="s">
        <v>8</v>
      </c>
      <c r="D241" t="s">
        <v>26</v>
      </c>
      <c r="E241" s="1">
        <v>2342</v>
      </c>
      <c r="F241" s="1">
        <v>12</v>
      </c>
      <c r="G241" s="1">
        <v>28104</v>
      </c>
      <c r="H241" s="1">
        <v>26698.799999999999</v>
      </c>
      <c r="I241" s="1">
        <v>19672.8</v>
      </c>
      <c r="J241" t="s">
        <v>16</v>
      </c>
      <c r="K241">
        <v>2019</v>
      </c>
    </row>
    <row r="242" spans="1:11" x14ac:dyDescent="0.3">
      <c r="A242" t="s">
        <v>12</v>
      </c>
      <c r="B242" t="s">
        <v>9</v>
      </c>
      <c r="C242" t="s">
        <v>8</v>
      </c>
      <c r="D242" t="s">
        <v>26</v>
      </c>
      <c r="E242" s="1">
        <v>1100</v>
      </c>
      <c r="F242" s="1">
        <v>300</v>
      </c>
      <c r="G242" s="1">
        <v>330000</v>
      </c>
      <c r="H242" s="1">
        <v>313500</v>
      </c>
      <c r="I242" s="1">
        <v>38500</v>
      </c>
      <c r="J242" t="s">
        <v>15</v>
      </c>
      <c r="K242">
        <v>2018</v>
      </c>
    </row>
    <row r="243" spans="1:11" x14ac:dyDescent="0.3">
      <c r="A243" t="s">
        <v>6</v>
      </c>
      <c r="B243" t="s">
        <v>14</v>
      </c>
      <c r="C243" t="s">
        <v>5</v>
      </c>
      <c r="D243" t="s">
        <v>26</v>
      </c>
      <c r="E243" s="1">
        <v>1303</v>
      </c>
      <c r="F243" s="1">
        <v>20</v>
      </c>
      <c r="G243" s="1">
        <v>26060</v>
      </c>
      <c r="H243" s="1">
        <v>24757</v>
      </c>
      <c r="I243" s="1">
        <v>11727</v>
      </c>
      <c r="J243" t="s">
        <v>7</v>
      </c>
      <c r="K243">
        <v>2019</v>
      </c>
    </row>
    <row r="244" spans="1:11" x14ac:dyDescent="0.3">
      <c r="A244" t="s">
        <v>17</v>
      </c>
      <c r="B244" t="s">
        <v>42</v>
      </c>
      <c r="C244" t="s">
        <v>5</v>
      </c>
      <c r="D244" t="s">
        <v>26</v>
      </c>
      <c r="E244" s="1">
        <v>2992</v>
      </c>
      <c r="F244" s="1">
        <v>125</v>
      </c>
      <c r="G244" s="1">
        <v>374000</v>
      </c>
      <c r="H244" s="1">
        <v>355300</v>
      </c>
      <c r="I244" s="1">
        <v>-3740</v>
      </c>
      <c r="J244" t="s">
        <v>13</v>
      </c>
      <c r="K244">
        <v>2019</v>
      </c>
    </row>
    <row r="245" spans="1:11" x14ac:dyDescent="0.3">
      <c r="A245" t="s">
        <v>17</v>
      </c>
      <c r="B245" t="s">
        <v>14</v>
      </c>
      <c r="C245" t="s">
        <v>5</v>
      </c>
      <c r="D245" t="s">
        <v>26</v>
      </c>
      <c r="E245" s="1">
        <v>2385</v>
      </c>
      <c r="F245" s="1">
        <v>125</v>
      </c>
      <c r="G245" s="1">
        <v>298125</v>
      </c>
      <c r="H245" s="1">
        <v>283218.75</v>
      </c>
      <c r="I245" s="1">
        <v>-2981.25</v>
      </c>
      <c r="J245" t="s">
        <v>13</v>
      </c>
      <c r="K245">
        <v>2019</v>
      </c>
    </row>
    <row r="246" spans="1:11" x14ac:dyDescent="0.3">
      <c r="A246" t="s">
        <v>12</v>
      </c>
      <c r="B246" t="s">
        <v>9</v>
      </c>
      <c r="C246" t="s">
        <v>5</v>
      </c>
      <c r="D246" t="s">
        <v>26</v>
      </c>
      <c r="E246" s="1">
        <v>1607</v>
      </c>
      <c r="F246" s="1">
        <v>300</v>
      </c>
      <c r="G246" s="1">
        <v>482100</v>
      </c>
      <c r="H246" s="1">
        <v>457995</v>
      </c>
      <c r="I246" s="1">
        <v>56245</v>
      </c>
      <c r="J246" t="s">
        <v>4</v>
      </c>
      <c r="K246">
        <v>2019</v>
      </c>
    </row>
    <row r="247" spans="1:11" x14ac:dyDescent="0.3">
      <c r="A247" t="s">
        <v>6</v>
      </c>
      <c r="B247" t="s">
        <v>42</v>
      </c>
      <c r="C247" t="s">
        <v>5</v>
      </c>
      <c r="D247" t="s">
        <v>26</v>
      </c>
      <c r="E247" s="1">
        <v>2327</v>
      </c>
      <c r="F247" s="1">
        <v>7</v>
      </c>
      <c r="G247" s="1">
        <v>16289</v>
      </c>
      <c r="H247" s="1">
        <v>15474.55</v>
      </c>
      <c r="I247" s="1">
        <v>3839.5499999999993</v>
      </c>
      <c r="J247" t="s">
        <v>0</v>
      </c>
      <c r="K247">
        <v>2019</v>
      </c>
    </row>
    <row r="248" spans="1:11" x14ac:dyDescent="0.3">
      <c r="A248" t="s">
        <v>12</v>
      </c>
      <c r="B248" t="s">
        <v>42</v>
      </c>
      <c r="C248" t="s">
        <v>5</v>
      </c>
      <c r="D248" t="s">
        <v>26</v>
      </c>
      <c r="E248" s="1">
        <v>991</v>
      </c>
      <c r="F248" s="1">
        <v>300</v>
      </c>
      <c r="G248" s="1">
        <v>297300</v>
      </c>
      <c r="H248" s="1">
        <v>282435</v>
      </c>
      <c r="I248" s="1">
        <v>34685</v>
      </c>
      <c r="J248" t="s">
        <v>25</v>
      </c>
      <c r="K248">
        <v>2019</v>
      </c>
    </row>
    <row r="249" spans="1:11" x14ac:dyDescent="0.3">
      <c r="A249" t="s">
        <v>6</v>
      </c>
      <c r="B249" t="s">
        <v>42</v>
      </c>
      <c r="C249" t="s">
        <v>5</v>
      </c>
      <c r="D249" t="s">
        <v>26</v>
      </c>
      <c r="E249" s="1">
        <v>602</v>
      </c>
      <c r="F249" s="1">
        <v>350</v>
      </c>
      <c r="G249" s="1">
        <v>210700</v>
      </c>
      <c r="H249" s="1">
        <v>200165</v>
      </c>
      <c r="I249" s="1">
        <v>43645</v>
      </c>
      <c r="J249" t="s">
        <v>25</v>
      </c>
      <c r="K249">
        <v>2019</v>
      </c>
    </row>
    <row r="250" spans="1:11" x14ac:dyDescent="0.3">
      <c r="A250" t="s">
        <v>18</v>
      </c>
      <c r="B250" t="s">
        <v>14</v>
      </c>
      <c r="C250" t="s">
        <v>5</v>
      </c>
      <c r="D250" t="s">
        <v>26</v>
      </c>
      <c r="E250" s="1">
        <v>2620</v>
      </c>
      <c r="F250" s="1">
        <v>15</v>
      </c>
      <c r="G250" s="1">
        <v>39300</v>
      </c>
      <c r="H250" s="1">
        <v>37335</v>
      </c>
      <c r="I250" s="1">
        <v>11135</v>
      </c>
      <c r="J250" t="s">
        <v>21</v>
      </c>
      <c r="K250">
        <v>2019</v>
      </c>
    </row>
    <row r="251" spans="1:11" x14ac:dyDescent="0.3">
      <c r="A251" t="s">
        <v>6</v>
      </c>
      <c r="B251" t="s">
        <v>40</v>
      </c>
      <c r="C251" t="s">
        <v>5</v>
      </c>
      <c r="D251" t="s">
        <v>26</v>
      </c>
      <c r="E251" s="1">
        <v>1228</v>
      </c>
      <c r="F251" s="1">
        <v>350</v>
      </c>
      <c r="G251" s="1">
        <v>429800</v>
      </c>
      <c r="H251" s="1">
        <v>408310</v>
      </c>
      <c r="I251" s="1">
        <v>89030</v>
      </c>
      <c r="J251" t="s">
        <v>10</v>
      </c>
      <c r="K251">
        <v>2018</v>
      </c>
    </row>
    <row r="252" spans="1:11" x14ac:dyDescent="0.3">
      <c r="A252" t="s">
        <v>6</v>
      </c>
      <c r="B252" t="s">
        <v>40</v>
      </c>
      <c r="C252" t="s">
        <v>5</v>
      </c>
      <c r="D252" t="s">
        <v>26</v>
      </c>
      <c r="E252" s="1">
        <v>1389</v>
      </c>
      <c r="F252" s="1">
        <v>20</v>
      </c>
      <c r="G252" s="1">
        <v>27780</v>
      </c>
      <c r="H252" s="1">
        <v>26391</v>
      </c>
      <c r="I252" s="1">
        <v>12501</v>
      </c>
      <c r="J252" t="s">
        <v>10</v>
      </c>
      <c r="K252">
        <v>2018</v>
      </c>
    </row>
    <row r="253" spans="1:11" x14ac:dyDescent="0.3">
      <c r="A253" t="s">
        <v>17</v>
      </c>
      <c r="B253" t="s">
        <v>42</v>
      </c>
      <c r="C253" t="s">
        <v>5</v>
      </c>
      <c r="D253" t="s">
        <v>26</v>
      </c>
      <c r="E253" s="1">
        <v>861</v>
      </c>
      <c r="F253" s="1">
        <v>125</v>
      </c>
      <c r="G253" s="1">
        <v>107625</v>
      </c>
      <c r="H253" s="1">
        <v>102243.75</v>
      </c>
      <c r="I253" s="1">
        <v>-1076.25</v>
      </c>
      <c r="J253" t="s">
        <v>10</v>
      </c>
      <c r="K253">
        <v>2019</v>
      </c>
    </row>
    <row r="254" spans="1:11" x14ac:dyDescent="0.3">
      <c r="A254" t="s">
        <v>17</v>
      </c>
      <c r="B254" t="s">
        <v>14</v>
      </c>
      <c r="C254" t="s">
        <v>5</v>
      </c>
      <c r="D254" t="s">
        <v>26</v>
      </c>
      <c r="E254" s="1">
        <v>704</v>
      </c>
      <c r="F254" s="1">
        <v>125</v>
      </c>
      <c r="G254" s="1">
        <v>88000</v>
      </c>
      <c r="H254" s="1">
        <v>83600</v>
      </c>
      <c r="I254" s="1">
        <v>-880</v>
      </c>
      <c r="J254" t="s">
        <v>10</v>
      </c>
      <c r="K254">
        <v>2018</v>
      </c>
    </row>
    <row r="255" spans="1:11" x14ac:dyDescent="0.3">
      <c r="A255" t="s">
        <v>6</v>
      </c>
      <c r="B255" t="s">
        <v>40</v>
      </c>
      <c r="C255" t="s">
        <v>5</v>
      </c>
      <c r="D255" t="s">
        <v>26</v>
      </c>
      <c r="E255" s="1">
        <v>1802</v>
      </c>
      <c r="F255" s="1">
        <v>20</v>
      </c>
      <c r="G255" s="1">
        <v>36040</v>
      </c>
      <c r="H255" s="1">
        <v>34238</v>
      </c>
      <c r="I255" s="1">
        <v>16218</v>
      </c>
      <c r="J255" t="s">
        <v>15</v>
      </c>
      <c r="K255">
        <v>2018</v>
      </c>
    </row>
    <row r="256" spans="1:11" x14ac:dyDescent="0.3">
      <c r="A256" t="s">
        <v>6</v>
      </c>
      <c r="B256" t="s">
        <v>42</v>
      </c>
      <c r="C256" t="s">
        <v>5</v>
      </c>
      <c r="D256" t="s">
        <v>26</v>
      </c>
      <c r="E256" s="1">
        <v>2663</v>
      </c>
      <c r="F256" s="1">
        <v>20</v>
      </c>
      <c r="G256" s="1">
        <v>53260</v>
      </c>
      <c r="H256" s="1">
        <v>50597</v>
      </c>
      <c r="I256" s="1">
        <v>23967</v>
      </c>
      <c r="J256" t="s">
        <v>15</v>
      </c>
      <c r="K256">
        <v>2019</v>
      </c>
    </row>
    <row r="257" spans="1:11" x14ac:dyDescent="0.3">
      <c r="A257" t="s">
        <v>6</v>
      </c>
      <c r="B257" t="s">
        <v>14</v>
      </c>
      <c r="C257" t="s">
        <v>5</v>
      </c>
      <c r="D257" t="s">
        <v>26</v>
      </c>
      <c r="E257" s="1">
        <v>2136</v>
      </c>
      <c r="F257" s="1">
        <v>7</v>
      </c>
      <c r="G257" s="1">
        <v>14952</v>
      </c>
      <c r="H257" s="1">
        <v>14204.4</v>
      </c>
      <c r="I257" s="1">
        <v>3524.3999999999996</v>
      </c>
      <c r="J257" t="s">
        <v>15</v>
      </c>
      <c r="K257">
        <v>2018</v>
      </c>
    </row>
    <row r="258" spans="1:11" x14ac:dyDescent="0.3">
      <c r="A258" t="s">
        <v>18</v>
      </c>
      <c r="B258" t="s">
        <v>41</v>
      </c>
      <c r="C258" t="s">
        <v>5</v>
      </c>
      <c r="D258" t="s">
        <v>26</v>
      </c>
      <c r="E258" s="1">
        <v>2116</v>
      </c>
      <c r="F258" s="1">
        <v>15</v>
      </c>
      <c r="G258" s="1">
        <v>31740</v>
      </c>
      <c r="H258" s="1">
        <v>30153</v>
      </c>
      <c r="I258" s="1">
        <v>8993</v>
      </c>
      <c r="J258" t="s">
        <v>15</v>
      </c>
      <c r="K258">
        <v>2018</v>
      </c>
    </row>
    <row r="259" spans="1:11" x14ac:dyDescent="0.3">
      <c r="A259" t="s">
        <v>18</v>
      </c>
      <c r="B259" t="s">
        <v>42</v>
      </c>
      <c r="C259" t="s">
        <v>20</v>
      </c>
      <c r="D259" t="s">
        <v>26</v>
      </c>
      <c r="E259" s="1">
        <v>555</v>
      </c>
      <c r="F259" s="1">
        <v>15</v>
      </c>
      <c r="G259" s="1">
        <v>8325</v>
      </c>
      <c r="H259" s="1">
        <v>7908.75</v>
      </c>
      <c r="I259" s="1">
        <v>2358.75</v>
      </c>
      <c r="J259" t="s">
        <v>24</v>
      </c>
      <c r="K259">
        <v>2019</v>
      </c>
    </row>
    <row r="260" spans="1:11" x14ac:dyDescent="0.3">
      <c r="A260" t="s">
        <v>18</v>
      </c>
      <c r="B260" t="s">
        <v>9</v>
      </c>
      <c r="C260" t="s">
        <v>20</v>
      </c>
      <c r="D260" t="s">
        <v>26</v>
      </c>
      <c r="E260" s="1">
        <v>2861</v>
      </c>
      <c r="F260" s="1">
        <v>15</v>
      </c>
      <c r="G260" s="1">
        <v>42915</v>
      </c>
      <c r="H260" s="1">
        <v>40769.25</v>
      </c>
      <c r="I260" s="1">
        <v>12159.25</v>
      </c>
      <c r="J260" t="s">
        <v>24</v>
      </c>
      <c r="K260">
        <v>2019</v>
      </c>
    </row>
    <row r="261" spans="1:11" x14ac:dyDescent="0.3">
      <c r="A261" t="s">
        <v>17</v>
      </c>
      <c r="B261" t="s">
        <v>41</v>
      </c>
      <c r="C261" t="s">
        <v>20</v>
      </c>
      <c r="D261" t="s">
        <v>26</v>
      </c>
      <c r="E261" s="1">
        <v>807</v>
      </c>
      <c r="F261" s="1">
        <v>125</v>
      </c>
      <c r="G261" s="1">
        <v>100875</v>
      </c>
      <c r="H261" s="1">
        <v>95831.25</v>
      </c>
      <c r="I261" s="1">
        <v>-1008.75</v>
      </c>
      <c r="J261" t="s">
        <v>7</v>
      </c>
      <c r="K261">
        <v>2019</v>
      </c>
    </row>
    <row r="262" spans="1:11" x14ac:dyDescent="0.3">
      <c r="A262" t="s">
        <v>6</v>
      </c>
      <c r="B262" t="s">
        <v>42</v>
      </c>
      <c r="C262" t="s">
        <v>20</v>
      </c>
      <c r="D262" t="s">
        <v>26</v>
      </c>
      <c r="E262" s="1">
        <v>602</v>
      </c>
      <c r="F262" s="1">
        <v>350</v>
      </c>
      <c r="G262" s="1">
        <v>210700</v>
      </c>
      <c r="H262" s="1">
        <v>200165</v>
      </c>
      <c r="I262" s="1">
        <v>43645</v>
      </c>
      <c r="J262" t="s">
        <v>25</v>
      </c>
      <c r="K262">
        <v>2019</v>
      </c>
    </row>
    <row r="263" spans="1:11" x14ac:dyDescent="0.3">
      <c r="A263" t="s">
        <v>6</v>
      </c>
      <c r="B263" t="s">
        <v>42</v>
      </c>
      <c r="C263" t="s">
        <v>20</v>
      </c>
      <c r="D263" t="s">
        <v>26</v>
      </c>
      <c r="E263" s="1">
        <v>2832</v>
      </c>
      <c r="F263" s="1">
        <v>20</v>
      </c>
      <c r="G263" s="1">
        <v>56640</v>
      </c>
      <c r="H263" s="1">
        <v>53808</v>
      </c>
      <c r="I263" s="1">
        <v>25488</v>
      </c>
      <c r="J263" t="s">
        <v>22</v>
      </c>
      <c r="K263">
        <v>2019</v>
      </c>
    </row>
    <row r="264" spans="1:11" x14ac:dyDescent="0.3">
      <c r="A264" t="s">
        <v>6</v>
      </c>
      <c r="B264" t="s">
        <v>14</v>
      </c>
      <c r="C264" t="s">
        <v>20</v>
      </c>
      <c r="D264" t="s">
        <v>26</v>
      </c>
      <c r="E264" s="1">
        <v>1579</v>
      </c>
      <c r="F264" s="1">
        <v>20</v>
      </c>
      <c r="G264" s="1">
        <v>31580</v>
      </c>
      <c r="H264" s="1">
        <v>30001</v>
      </c>
      <c r="I264" s="1">
        <v>14211</v>
      </c>
      <c r="J264" t="s">
        <v>22</v>
      </c>
      <c r="K264">
        <v>2019</v>
      </c>
    </row>
    <row r="265" spans="1:11" x14ac:dyDescent="0.3">
      <c r="A265" t="s">
        <v>17</v>
      </c>
      <c r="B265" t="s">
        <v>42</v>
      </c>
      <c r="C265" t="s">
        <v>20</v>
      </c>
      <c r="D265" t="s">
        <v>26</v>
      </c>
      <c r="E265" s="1">
        <v>861</v>
      </c>
      <c r="F265" s="1">
        <v>125</v>
      </c>
      <c r="G265" s="1">
        <v>107625</v>
      </c>
      <c r="H265" s="1">
        <v>102243.75</v>
      </c>
      <c r="I265" s="1">
        <v>-1076.25</v>
      </c>
      <c r="J265" t="s">
        <v>10</v>
      </c>
      <c r="K265">
        <v>2019</v>
      </c>
    </row>
    <row r="266" spans="1:11" x14ac:dyDescent="0.3">
      <c r="A266" t="s">
        <v>17</v>
      </c>
      <c r="B266" t="s">
        <v>14</v>
      </c>
      <c r="C266" t="s">
        <v>20</v>
      </c>
      <c r="D266" t="s">
        <v>26</v>
      </c>
      <c r="E266" s="1">
        <v>704</v>
      </c>
      <c r="F266" s="1">
        <v>125</v>
      </c>
      <c r="G266" s="1">
        <v>88000</v>
      </c>
      <c r="H266" s="1">
        <v>83600</v>
      </c>
      <c r="I266" s="1">
        <v>-880</v>
      </c>
      <c r="J266" t="s">
        <v>10</v>
      </c>
      <c r="K266">
        <v>2018</v>
      </c>
    </row>
    <row r="267" spans="1:11" x14ac:dyDescent="0.3">
      <c r="A267" t="s">
        <v>6</v>
      </c>
      <c r="B267" t="s">
        <v>14</v>
      </c>
      <c r="C267" t="s">
        <v>20</v>
      </c>
      <c r="D267" t="s">
        <v>26</v>
      </c>
      <c r="E267" s="1">
        <v>1033</v>
      </c>
      <c r="F267" s="1">
        <v>20</v>
      </c>
      <c r="G267" s="1">
        <v>20660</v>
      </c>
      <c r="H267" s="1">
        <v>19627</v>
      </c>
      <c r="I267" s="1">
        <v>9297</v>
      </c>
      <c r="J267" t="s">
        <v>15</v>
      </c>
      <c r="K267">
        <v>2018</v>
      </c>
    </row>
    <row r="268" spans="1:11" x14ac:dyDescent="0.3">
      <c r="A268" t="s">
        <v>12</v>
      </c>
      <c r="B268" t="s">
        <v>41</v>
      </c>
      <c r="C268" t="s">
        <v>20</v>
      </c>
      <c r="D268" t="s">
        <v>26</v>
      </c>
      <c r="E268" s="1">
        <v>1250</v>
      </c>
      <c r="F268" s="1">
        <v>300</v>
      </c>
      <c r="G268" s="1">
        <v>375000</v>
      </c>
      <c r="H268" s="1">
        <v>356250</v>
      </c>
      <c r="I268" s="1">
        <v>43750</v>
      </c>
      <c r="J268" t="s">
        <v>15</v>
      </c>
      <c r="K268">
        <v>2019</v>
      </c>
    </row>
    <row r="269" spans="1:11" x14ac:dyDescent="0.3">
      <c r="A269" t="s">
        <v>6</v>
      </c>
      <c r="B269" t="s">
        <v>40</v>
      </c>
      <c r="C269" t="s">
        <v>2</v>
      </c>
      <c r="D269" t="s">
        <v>26</v>
      </c>
      <c r="E269" s="1">
        <v>1389</v>
      </c>
      <c r="F269" s="1">
        <v>20</v>
      </c>
      <c r="G269" s="1">
        <v>27780</v>
      </c>
      <c r="H269" s="1">
        <v>26391</v>
      </c>
      <c r="I269" s="1">
        <v>12501</v>
      </c>
      <c r="J269" t="s">
        <v>10</v>
      </c>
      <c r="K269">
        <v>2018</v>
      </c>
    </row>
    <row r="270" spans="1:11" x14ac:dyDescent="0.3">
      <c r="A270" t="s">
        <v>6</v>
      </c>
      <c r="B270" t="s">
        <v>42</v>
      </c>
      <c r="C270" t="s">
        <v>2</v>
      </c>
      <c r="D270" t="s">
        <v>26</v>
      </c>
      <c r="E270" s="1">
        <v>1265</v>
      </c>
      <c r="F270" s="1">
        <v>20</v>
      </c>
      <c r="G270" s="1">
        <v>25300</v>
      </c>
      <c r="H270" s="1">
        <v>24035</v>
      </c>
      <c r="I270" s="1">
        <v>11385</v>
      </c>
      <c r="J270" t="s">
        <v>16</v>
      </c>
      <c r="K270">
        <v>2018</v>
      </c>
    </row>
    <row r="271" spans="1:11" x14ac:dyDescent="0.3">
      <c r="A271" t="s">
        <v>6</v>
      </c>
      <c r="B271" t="s">
        <v>41</v>
      </c>
      <c r="C271" t="s">
        <v>2</v>
      </c>
      <c r="D271" t="s">
        <v>26</v>
      </c>
      <c r="E271" s="1">
        <v>2297</v>
      </c>
      <c r="F271" s="1">
        <v>20</v>
      </c>
      <c r="G271" s="1">
        <v>45940</v>
      </c>
      <c r="H271" s="1">
        <v>43643</v>
      </c>
      <c r="I271" s="1">
        <v>20673</v>
      </c>
      <c r="J271" t="s">
        <v>16</v>
      </c>
      <c r="K271">
        <v>2018</v>
      </c>
    </row>
    <row r="272" spans="1:11" x14ac:dyDescent="0.3">
      <c r="A272" t="s">
        <v>6</v>
      </c>
      <c r="B272" t="s">
        <v>42</v>
      </c>
      <c r="C272" t="s">
        <v>2</v>
      </c>
      <c r="D272" t="s">
        <v>26</v>
      </c>
      <c r="E272" s="1">
        <v>2663</v>
      </c>
      <c r="F272" s="1">
        <v>20</v>
      </c>
      <c r="G272" s="1">
        <v>53260</v>
      </c>
      <c r="H272" s="1">
        <v>50597</v>
      </c>
      <c r="I272" s="1">
        <v>23967</v>
      </c>
      <c r="J272" t="s">
        <v>15</v>
      </c>
      <c r="K272">
        <v>2019</v>
      </c>
    </row>
    <row r="273" spans="1:11" x14ac:dyDescent="0.3">
      <c r="A273" t="s">
        <v>6</v>
      </c>
      <c r="B273" t="s">
        <v>42</v>
      </c>
      <c r="C273" t="s">
        <v>2</v>
      </c>
      <c r="D273" t="s">
        <v>26</v>
      </c>
      <c r="E273" s="1">
        <v>570</v>
      </c>
      <c r="F273" s="1">
        <v>7</v>
      </c>
      <c r="G273" s="1">
        <v>3990</v>
      </c>
      <c r="H273" s="1">
        <v>3790.5</v>
      </c>
      <c r="I273" s="1">
        <v>940.5</v>
      </c>
      <c r="J273" t="s">
        <v>15</v>
      </c>
      <c r="K273">
        <v>2019</v>
      </c>
    </row>
    <row r="274" spans="1:11" x14ac:dyDescent="0.3">
      <c r="A274" t="s">
        <v>6</v>
      </c>
      <c r="B274" t="s">
        <v>14</v>
      </c>
      <c r="C274" t="s">
        <v>2</v>
      </c>
      <c r="D274" t="s">
        <v>26</v>
      </c>
      <c r="E274" s="1">
        <v>2487</v>
      </c>
      <c r="F274" s="1">
        <v>7</v>
      </c>
      <c r="G274" s="1">
        <v>17409</v>
      </c>
      <c r="H274" s="1">
        <v>16538.55</v>
      </c>
      <c r="I274" s="1">
        <v>4103.5499999999993</v>
      </c>
      <c r="J274" t="s">
        <v>15</v>
      </c>
      <c r="K274">
        <v>2019</v>
      </c>
    </row>
    <row r="275" spans="1:11" x14ac:dyDescent="0.3">
      <c r="A275" t="s">
        <v>6</v>
      </c>
      <c r="B275" t="s">
        <v>41</v>
      </c>
      <c r="C275" t="s">
        <v>11</v>
      </c>
      <c r="D275" t="s">
        <v>26</v>
      </c>
      <c r="E275" s="1">
        <v>1350</v>
      </c>
      <c r="F275" s="1">
        <v>350</v>
      </c>
      <c r="G275" s="1">
        <v>472500</v>
      </c>
      <c r="H275" s="1">
        <v>448875</v>
      </c>
      <c r="I275" s="1">
        <v>97875</v>
      </c>
      <c r="J275" t="s">
        <v>7</v>
      </c>
      <c r="K275">
        <v>2019</v>
      </c>
    </row>
    <row r="276" spans="1:11" x14ac:dyDescent="0.3">
      <c r="A276" t="s">
        <v>6</v>
      </c>
      <c r="B276" t="s">
        <v>40</v>
      </c>
      <c r="C276" t="s">
        <v>11</v>
      </c>
      <c r="D276" t="s">
        <v>26</v>
      </c>
      <c r="E276" s="1">
        <v>552</v>
      </c>
      <c r="F276" s="1">
        <v>350</v>
      </c>
      <c r="G276" s="1">
        <v>193200</v>
      </c>
      <c r="H276" s="1">
        <v>183540</v>
      </c>
      <c r="I276" s="1">
        <v>40020</v>
      </c>
      <c r="J276" t="s">
        <v>22</v>
      </c>
      <c r="K276">
        <v>2019</v>
      </c>
    </row>
    <row r="277" spans="1:11" x14ac:dyDescent="0.3">
      <c r="A277" t="s">
        <v>6</v>
      </c>
      <c r="B277" t="s">
        <v>40</v>
      </c>
      <c r="C277" t="s">
        <v>11</v>
      </c>
      <c r="D277" t="s">
        <v>26</v>
      </c>
      <c r="E277" s="1">
        <v>1228</v>
      </c>
      <c r="F277" s="1">
        <v>350</v>
      </c>
      <c r="G277" s="1">
        <v>429800</v>
      </c>
      <c r="H277" s="1">
        <v>408310</v>
      </c>
      <c r="I277" s="1">
        <v>89030</v>
      </c>
      <c r="J277" t="s">
        <v>10</v>
      </c>
      <c r="K277">
        <v>2018</v>
      </c>
    </row>
    <row r="278" spans="1:11" x14ac:dyDescent="0.3">
      <c r="A278" t="s">
        <v>12</v>
      </c>
      <c r="B278" t="s">
        <v>41</v>
      </c>
      <c r="C278" t="s">
        <v>11</v>
      </c>
      <c r="D278" t="s">
        <v>26</v>
      </c>
      <c r="E278" s="1">
        <v>1250</v>
      </c>
      <c r="F278" s="1">
        <v>300</v>
      </c>
      <c r="G278" s="1">
        <v>375000</v>
      </c>
      <c r="H278" s="1">
        <v>356250</v>
      </c>
      <c r="I278" s="1">
        <v>43750</v>
      </c>
      <c r="J278" t="s">
        <v>15</v>
      </c>
      <c r="K278">
        <v>2019</v>
      </c>
    </row>
    <row r="279" spans="1:11" x14ac:dyDescent="0.3">
      <c r="A279" t="s">
        <v>18</v>
      </c>
      <c r="B279" t="s">
        <v>14</v>
      </c>
      <c r="C279" t="s">
        <v>5</v>
      </c>
      <c r="D279" t="s">
        <v>26</v>
      </c>
      <c r="E279" s="1">
        <v>3801</v>
      </c>
      <c r="F279" s="1">
        <v>15</v>
      </c>
      <c r="G279" s="1">
        <v>57015</v>
      </c>
      <c r="H279" s="1">
        <v>53594.100000000006</v>
      </c>
      <c r="I279" s="1">
        <v>15584.100000000002</v>
      </c>
      <c r="J279" t="s">
        <v>4</v>
      </c>
      <c r="K279">
        <v>2019</v>
      </c>
    </row>
    <row r="280" spans="1:11" x14ac:dyDescent="0.3">
      <c r="A280" t="s">
        <v>6</v>
      </c>
      <c r="B280" t="s">
        <v>42</v>
      </c>
      <c r="C280" t="s">
        <v>23</v>
      </c>
      <c r="D280" t="s">
        <v>26</v>
      </c>
      <c r="E280" s="1">
        <v>1117.5</v>
      </c>
      <c r="F280" s="1">
        <v>20</v>
      </c>
      <c r="G280" s="1">
        <v>22350</v>
      </c>
      <c r="H280" s="1">
        <v>21009</v>
      </c>
      <c r="I280" s="1">
        <v>9834</v>
      </c>
      <c r="J280" t="s">
        <v>24</v>
      </c>
      <c r="K280">
        <v>2019</v>
      </c>
    </row>
    <row r="281" spans="1:11" x14ac:dyDescent="0.3">
      <c r="A281" t="s">
        <v>18</v>
      </c>
      <c r="B281" t="s">
        <v>40</v>
      </c>
      <c r="C281" t="s">
        <v>23</v>
      </c>
      <c r="D281" t="s">
        <v>26</v>
      </c>
      <c r="E281" s="1">
        <v>2844</v>
      </c>
      <c r="F281" s="1">
        <v>15</v>
      </c>
      <c r="G281" s="1">
        <v>42660</v>
      </c>
      <c r="H281" s="1">
        <v>40100.400000000001</v>
      </c>
      <c r="I281" s="1">
        <v>11660.400000000001</v>
      </c>
      <c r="J281" t="s">
        <v>25</v>
      </c>
      <c r="K281">
        <v>2019</v>
      </c>
    </row>
    <row r="282" spans="1:11" x14ac:dyDescent="0.3">
      <c r="A282" t="s">
        <v>3</v>
      </c>
      <c r="B282" t="s">
        <v>9</v>
      </c>
      <c r="C282" t="s">
        <v>23</v>
      </c>
      <c r="D282" t="s">
        <v>26</v>
      </c>
      <c r="E282" s="1">
        <v>562</v>
      </c>
      <c r="F282" s="1">
        <v>12</v>
      </c>
      <c r="G282" s="1">
        <v>6744</v>
      </c>
      <c r="H282" s="1">
        <v>6339.36</v>
      </c>
      <c r="I282" s="1">
        <v>4653.3599999999997</v>
      </c>
      <c r="J282" t="s">
        <v>21</v>
      </c>
      <c r="K282">
        <v>2019</v>
      </c>
    </row>
    <row r="283" spans="1:11" x14ac:dyDescent="0.3">
      <c r="A283" t="s">
        <v>3</v>
      </c>
      <c r="B283" t="s">
        <v>40</v>
      </c>
      <c r="C283" t="s">
        <v>23</v>
      </c>
      <c r="D283" t="s">
        <v>26</v>
      </c>
      <c r="E283" s="1">
        <v>2299</v>
      </c>
      <c r="F283" s="1">
        <v>12</v>
      </c>
      <c r="G283" s="1">
        <v>27588</v>
      </c>
      <c r="H283" s="1">
        <v>25932.720000000001</v>
      </c>
      <c r="I283" s="1">
        <v>19035.72</v>
      </c>
      <c r="J283" t="s">
        <v>10</v>
      </c>
      <c r="K283">
        <v>2018</v>
      </c>
    </row>
    <row r="284" spans="1:11" x14ac:dyDescent="0.3">
      <c r="A284" t="s">
        <v>18</v>
      </c>
      <c r="B284" t="s">
        <v>42</v>
      </c>
      <c r="C284" t="s">
        <v>23</v>
      </c>
      <c r="D284" t="s">
        <v>26</v>
      </c>
      <c r="E284" s="1">
        <v>2030</v>
      </c>
      <c r="F284" s="1">
        <v>15</v>
      </c>
      <c r="G284" s="1">
        <v>30450</v>
      </c>
      <c r="H284" s="1">
        <v>28623</v>
      </c>
      <c r="I284" s="1">
        <v>8323</v>
      </c>
      <c r="J284" t="s">
        <v>16</v>
      </c>
      <c r="K284">
        <v>2019</v>
      </c>
    </row>
    <row r="285" spans="1:11" x14ac:dyDescent="0.3">
      <c r="A285" t="s">
        <v>6</v>
      </c>
      <c r="B285" t="s">
        <v>42</v>
      </c>
      <c r="C285" t="s">
        <v>23</v>
      </c>
      <c r="D285" t="s">
        <v>26</v>
      </c>
      <c r="E285" s="1">
        <v>263</v>
      </c>
      <c r="F285" s="1">
        <v>7</v>
      </c>
      <c r="G285" s="1">
        <v>1841</v>
      </c>
      <c r="H285" s="1">
        <v>1730.54</v>
      </c>
      <c r="I285" s="1">
        <v>415.53999999999996</v>
      </c>
      <c r="J285" t="s">
        <v>16</v>
      </c>
      <c r="K285">
        <v>2018</v>
      </c>
    </row>
    <row r="286" spans="1:11" x14ac:dyDescent="0.3">
      <c r="A286" t="s">
        <v>17</v>
      </c>
      <c r="B286" t="s">
        <v>41</v>
      </c>
      <c r="C286" t="s">
        <v>23</v>
      </c>
      <c r="D286" t="s">
        <v>26</v>
      </c>
      <c r="E286" s="1">
        <v>887</v>
      </c>
      <c r="F286" s="1">
        <v>125</v>
      </c>
      <c r="G286" s="1">
        <v>110875</v>
      </c>
      <c r="H286" s="1">
        <v>104222.5</v>
      </c>
      <c r="I286" s="1">
        <v>-2217.5</v>
      </c>
      <c r="J286" t="s">
        <v>15</v>
      </c>
      <c r="K286">
        <v>2018</v>
      </c>
    </row>
    <row r="287" spans="1:11" x14ac:dyDescent="0.3">
      <c r="A287" t="s">
        <v>6</v>
      </c>
      <c r="B287" t="s">
        <v>9</v>
      </c>
      <c r="C287" t="s">
        <v>8</v>
      </c>
      <c r="D287" t="s">
        <v>26</v>
      </c>
      <c r="E287" s="1">
        <v>980</v>
      </c>
      <c r="F287" s="1">
        <v>350</v>
      </c>
      <c r="G287" s="1">
        <v>343000</v>
      </c>
      <c r="H287" s="1">
        <v>322420</v>
      </c>
      <c r="I287" s="1">
        <v>67620</v>
      </c>
      <c r="J287" t="s">
        <v>4</v>
      </c>
      <c r="K287">
        <v>2019</v>
      </c>
    </row>
    <row r="288" spans="1:11" x14ac:dyDescent="0.3">
      <c r="A288" t="s">
        <v>6</v>
      </c>
      <c r="B288" t="s">
        <v>41</v>
      </c>
      <c r="C288" t="s">
        <v>8</v>
      </c>
      <c r="D288" t="s">
        <v>26</v>
      </c>
      <c r="E288" s="1">
        <v>1460</v>
      </c>
      <c r="F288" s="1">
        <v>350</v>
      </c>
      <c r="G288" s="1">
        <v>511000</v>
      </c>
      <c r="H288" s="1">
        <v>480340</v>
      </c>
      <c r="I288" s="1">
        <v>100740</v>
      </c>
      <c r="J288" t="s">
        <v>0</v>
      </c>
      <c r="K288">
        <v>2019</v>
      </c>
    </row>
    <row r="289" spans="1:11" x14ac:dyDescent="0.3">
      <c r="A289" t="s">
        <v>6</v>
      </c>
      <c r="B289" t="s">
        <v>14</v>
      </c>
      <c r="C289" t="s">
        <v>8</v>
      </c>
      <c r="D289" t="s">
        <v>26</v>
      </c>
      <c r="E289" s="1">
        <v>1403</v>
      </c>
      <c r="F289" s="1">
        <v>7</v>
      </c>
      <c r="G289" s="1">
        <v>9821</v>
      </c>
      <c r="H289" s="1">
        <v>9231.74</v>
      </c>
      <c r="I289" s="1">
        <v>2216.7399999999998</v>
      </c>
      <c r="J289" t="s">
        <v>10</v>
      </c>
      <c r="K289">
        <v>2018</v>
      </c>
    </row>
    <row r="290" spans="1:11" x14ac:dyDescent="0.3">
      <c r="A290" t="s">
        <v>3</v>
      </c>
      <c r="B290" t="s">
        <v>42</v>
      </c>
      <c r="C290" t="s">
        <v>8</v>
      </c>
      <c r="D290" t="s">
        <v>26</v>
      </c>
      <c r="E290" s="1">
        <v>2723</v>
      </c>
      <c r="F290" s="1">
        <v>12</v>
      </c>
      <c r="G290" s="1">
        <v>32676</v>
      </c>
      <c r="H290" s="1">
        <v>30715.439999999999</v>
      </c>
      <c r="I290" s="1">
        <v>22546.44</v>
      </c>
      <c r="J290" t="s">
        <v>16</v>
      </c>
      <c r="K290">
        <v>2019</v>
      </c>
    </row>
    <row r="291" spans="1:11" x14ac:dyDescent="0.3">
      <c r="A291" t="s">
        <v>6</v>
      </c>
      <c r="B291" t="s">
        <v>14</v>
      </c>
      <c r="C291" t="s">
        <v>5</v>
      </c>
      <c r="D291" t="s">
        <v>26</v>
      </c>
      <c r="E291" s="1">
        <v>1496</v>
      </c>
      <c r="F291" s="1">
        <v>350</v>
      </c>
      <c r="G291" s="1">
        <v>523600</v>
      </c>
      <c r="H291" s="1">
        <v>492184</v>
      </c>
      <c r="I291" s="1">
        <v>103224</v>
      </c>
      <c r="J291" t="s">
        <v>25</v>
      </c>
      <c r="K291">
        <v>2019</v>
      </c>
    </row>
    <row r="292" spans="1:11" x14ac:dyDescent="0.3">
      <c r="A292" t="s">
        <v>3</v>
      </c>
      <c r="B292" t="s">
        <v>40</v>
      </c>
      <c r="C292" t="s">
        <v>5</v>
      </c>
      <c r="D292" t="s">
        <v>26</v>
      </c>
      <c r="E292" s="1">
        <v>2299</v>
      </c>
      <c r="F292" s="1">
        <v>12</v>
      </c>
      <c r="G292" s="1">
        <v>27588</v>
      </c>
      <c r="H292" s="1">
        <v>25932.720000000001</v>
      </c>
      <c r="I292" s="1">
        <v>19035.72</v>
      </c>
      <c r="J292" t="s">
        <v>10</v>
      </c>
      <c r="K292">
        <v>2018</v>
      </c>
    </row>
    <row r="293" spans="1:11" x14ac:dyDescent="0.3">
      <c r="A293" t="s">
        <v>6</v>
      </c>
      <c r="B293" t="s">
        <v>42</v>
      </c>
      <c r="C293" t="s">
        <v>5</v>
      </c>
      <c r="D293" t="s">
        <v>26</v>
      </c>
      <c r="E293" s="1">
        <v>727</v>
      </c>
      <c r="F293" s="1">
        <v>350</v>
      </c>
      <c r="G293" s="1">
        <v>254450</v>
      </c>
      <c r="H293" s="1">
        <v>239183</v>
      </c>
      <c r="I293" s="1">
        <v>50163</v>
      </c>
      <c r="J293" t="s">
        <v>10</v>
      </c>
      <c r="K293">
        <v>2018</v>
      </c>
    </row>
    <row r="294" spans="1:11" x14ac:dyDescent="0.3">
      <c r="A294" t="s">
        <v>17</v>
      </c>
      <c r="B294" t="s">
        <v>40</v>
      </c>
      <c r="C294" t="s">
        <v>20</v>
      </c>
      <c r="D294" t="s">
        <v>26</v>
      </c>
      <c r="E294" s="1">
        <v>952</v>
      </c>
      <c r="F294" s="1">
        <v>125</v>
      </c>
      <c r="G294" s="1">
        <v>119000</v>
      </c>
      <c r="H294" s="1">
        <v>111860</v>
      </c>
      <c r="I294" s="1">
        <v>-2380</v>
      </c>
      <c r="J294" t="s">
        <v>7</v>
      </c>
      <c r="K294">
        <v>2019</v>
      </c>
    </row>
    <row r="295" spans="1:11" x14ac:dyDescent="0.3">
      <c r="A295" t="s">
        <v>17</v>
      </c>
      <c r="B295" t="s">
        <v>42</v>
      </c>
      <c r="C295" t="s">
        <v>20</v>
      </c>
      <c r="D295" t="s">
        <v>26</v>
      </c>
      <c r="E295" s="1">
        <v>2755</v>
      </c>
      <c r="F295" s="1">
        <v>125</v>
      </c>
      <c r="G295" s="1">
        <v>344375</v>
      </c>
      <c r="H295" s="1">
        <v>323712.5</v>
      </c>
      <c r="I295" s="1">
        <v>-6887.5</v>
      </c>
      <c r="J295" t="s">
        <v>7</v>
      </c>
      <c r="K295">
        <v>2019</v>
      </c>
    </row>
    <row r="296" spans="1:11" x14ac:dyDescent="0.3">
      <c r="A296" t="s">
        <v>18</v>
      </c>
      <c r="B296" t="s">
        <v>41</v>
      </c>
      <c r="C296" t="s">
        <v>20</v>
      </c>
      <c r="D296" t="s">
        <v>26</v>
      </c>
      <c r="E296" s="1">
        <v>1530</v>
      </c>
      <c r="F296" s="1">
        <v>15</v>
      </c>
      <c r="G296" s="1">
        <v>22950</v>
      </c>
      <c r="H296" s="1">
        <v>21573</v>
      </c>
      <c r="I296" s="1">
        <v>6273</v>
      </c>
      <c r="J296" t="s">
        <v>0</v>
      </c>
      <c r="K296">
        <v>2019</v>
      </c>
    </row>
    <row r="297" spans="1:11" x14ac:dyDescent="0.3">
      <c r="A297" t="s">
        <v>6</v>
      </c>
      <c r="B297" t="s">
        <v>14</v>
      </c>
      <c r="C297" t="s">
        <v>20</v>
      </c>
      <c r="D297" t="s">
        <v>26</v>
      </c>
      <c r="E297" s="1">
        <v>1496</v>
      </c>
      <c r="F297" s="1">
        <v>350</v>
      </c>
      <c r="G297" s="1">
        <v>523600</v>
      </c>
      <c r="H297" s="1">
        <v>492184</v>
      </c>
      <c r="I297" s="1">
        <v>103224</v>
      </c>
      <c r="J297" t="s">
        <v>25</v>
      </c>
      <c r="K297">
        <v>2019</v>
      </c>
    </row>
    <row r="298" spans="1:11" x14ac:dyDescent="0.3">
      <c r="A298" t="s">
        <v>6</v>
      </c>
      <c r="B298" t="s">
        <v>9</v>
      </c>
      <c r="C298" t="s">
        <v>20</v>
      </c>
      <c r="D298" t="s">
        <v>26</v>
      </c>
      <c r="E298" s="1">
        <v>1498</v>
      </c>
      <c r="F298" s="1">
        <v>7</v>
      </c>
      <c r="G298" s="1">
        <v>10486</v>
      </c>
      <c r="H298" s="1">
        <v>9856.84</v>
      </c>
      <c r="I298" s="1">
        <v>2366.84</v>
      </c>
      <c r="J298" t="s">
        <v>25</v>
      </c>
      <c r="K298">
        <v>2019</v>
      </c>
    </row>
    <row r="299" spans="1:11" x14ac:dyDescent="0.3">
      <c r="A299" t="s">
        <v>12</v>
      </c>
      <c r="B299" t="s">
        <v>14</v>
      </c>
      <c r="C299" t="s">
        <v>20</v>
      </c>
      <c r="D299" t="s">
        <v>26</v>
      </c>
      <c r="E299" s="1">
        <v>1221</v>
      </c>
      <c r="F299" s="1">
        <v>300</v>
      </c>
      <c r="G299" s="1">
        <v>366300</v>
      </c>
      <c r="H299" s="1">
        <v>344322</v>
      </c>
      <c r="I299" s="1">
        <v>39072</v>
      </c>
      <c r="J299" t="s">
        <v>10</v>
      </c>
      <c r="K299">
        <v>2018</v>
      </c>
    </row>
    <row r="300" spans="1:11" x14ac:dyDescent="0.3">
      <c r="A300" t="s">
        <v>6</v>
      </c>
      <c r="B300" t="s">
        <v>14</v>
      </c>
      <c r="C300" t="s">
        <v>20</v>
      </c>
      <c r="D300" t="s">
        <v>26</v>
      </c>
      <c r="E300" s="1">
        <v>2076</v>
      </c>
      <c r="F300" s="1">
        <v>350</v>
      </c>
      <c r="G300" s="1">
        <v>726600</v>
      </c>
      <c r="H300" s="1">
        <v>683004</v>
      </c>
      <c r="I300" s="1">
        <v>143244</v>
      </c>
      <c r="J300" t="s">
        <v>10</v>
      </c>
      <c r="K300">
        <v>2018</v>
      </c>
    </row>
    <row r="301" spans="1:11" x14ac:dyDescent="0.3">
      <c r="A301" t="s">
        <v>18</v>
      </c>
      <c r="B301" t="s">
        <v>40</v>
      </c>
      <c r="C301" t="s">
        <v>2</v>
      </c>
      <c r="D301" t="s">
        <v>26</v>
      </c>
      <c r="E301" s="1">
        <v>2844</v>
      </c>
      <c r="F301" s="1">
        <v>15</v>
      </c>
      <c r="G301" s="1">
        <v>42660</v>
      </c>
      <c r="H301" s="1">
        <v>40100.400000000001</v>
      </c>
      <c r="I301" s="1">
        <v>11660.400000000001</v>
      </c>
      <c r="J301" t="s">
        <v>25</v>
      </c>
      <c r="K301">
        <v>2019</v>
      </c>
    </row>
    <row r="302" spans="1:11" x14ac:dyDescent="0.3">
      <c r="A302" t="s">
        <v>6</v>
      </c>
      <c r="B302" t="s">
        <v>9</v>
      </c>
      <c r="C302" t="s">
        <v>2</v>
      </c>
      <c r="D302" t="s">
        <v>26</v>
      </c>
      <c r="E302" s="1">
        <v>1498</v>
      </c>
      <c r="F302" s="1">
        <v>7</v>
      </c>
      <c r="G302" s="1">
        <v>10486</v>
      </c>
      <c r="H302" s="1">
        <v>9856.84</v>
      </c>
      <c r="I302" s="1">
        <v>2366.84</v>
      </c>
      <c r="J302" t="s">
        <v>25</v>
      </c>
      <c r="K302">
        <v>2019</v>
      </c>
    </row>
    <row r="303" spans="1:11" x14ac:dyDescent="0.3">
      <c r="A303" t="s">
        <v>12</v>
      </c>
      <c r="B303" t="s">
        <v>14</v>
      </c>
      <c r="C303" t="s">
        <v>2</v>
      </c>
      <c r="D303" t="s">
        <v>26</v>
      </c>
      <c r="E303" s="1">
        <v>1221</v>
      </c>
      <c r="F303" s="1">
        <v>300</v>
      </c>
      <c r="G303" s="1">
        <v>366300</v>
      </c>
      <c r="H303" s="1">
        <v>344322</v>
      </c>
      <c r="I303" s="1">
        <v>39072</v>
      </c>
      <c r="J303" t="s">
        <v>10</v>
      </c>
      <c r="K303">
        <v>2018</v>
      </c>
    </row>
    <row r="304" spans="1:11" x14ac:dyDescent="0.3">
      <c r="A304" t="s">
        <v>6</v>
      </c>
      <c r="B304" t="s">
        <v>9</v>
      </c>
      <c r="C304" t="s">
        <v>2</v>
      </c>
      <c r="D304" t="s">
        <v>26</v>
      </c>
      <c r="E304" s="1">
        <v>1123</v>
      </c>
      <c r="F304" s="1">
        <v>20</v>
      </c>
      <c r="G304" s="1">
        <v>22460</v>
      </c>
      <c r="H304" s="1">
        <v>21112.400000000001</v>
      </c>
      <c r="I304" s="1">
        <v>9882.4000000000015</v>
      </c>
      <c r="J304" t="s">
        <v>16</v>
      </c>
      <c r="K304">
        <v>2018</v>
      </c>
    </row>
    <row r="305" spans="1:11" x14ac:dyDescent="0.3">
      <c r="A305" t="s">
        <v>12</v>
      </c>
      <c r="B305" t="s">
        <v>40</v>
      </c>
      <c r="C305" t="s">
        <v>2</v>
      </c>
      <c r="D305" t="s">
        <v>26</v>
      </c>
      <c r="E305" s="1">
        <v>2436</v>
      </c>
      <c r="F305" s="1">
        <v>300</v>
      </c>
      <c r="G305" s="1">
        <v>730800</v>
      </c>
      <c r="H305" s="1">
        <v>686952</v>
      </c>
      <c r="I305" s="1">
        <v>77952</v>
      </c>
      <c r="J305" t="s">
        <v>15</v>
      </c>
      <c r="K305">
        <v>2018</v>
      </c>
    </row>
    <row r="306" spans="1:11" x14ac:dyDescent="0.3">
      <c r="A306" t="s">
        <v>17</v>
      </c>
      <c r="B306" t="s">
        <v>14</v>
      </c>
      <c r="C306" t="s">
        <v>11</v>
      </c>
      <c r="D306" t="s">
        <v>26</v>
      </c>
      <c r="E306" s="1">
        <v>1987.5</v>
      </c>
      <c r="F306" s="1">
        <v>125</v>
      </c>
      <c r="G306" s="1">
        <v>248437.5</v>
      </c>
      <c r="H306" s="1">
        <v>233531.25</v>
      </c>
      <c r="I306" s="1">
        <v>-4968.75</v>
      </c>
      <c r="J306" t="s">
        <v>24</v>
      </c>
      <c r="K306">
        <v>2019</v>
      </c>
    </row>
    <row r="307" spans="1:11" x14ac:dyDescent="0.3">
      <c r="A307" t="s">
        <v>6</v>
      </c>
      <c r="B307" t="s">
        <v>9</v>
      </c>
      <c r="C307" t="s">
        <v>11</v>
      </c>
      <c r="D307" t="s">
        <v>26</v>
      </c>
      <c r="E307" s="1">
        <v>1679</v>
      </c>
      <c r="F307" s="1">
        <v>350</v>
      </c>
      <c r="G307" s="1">
        <v>587650</v>
      </c>
      <c r="H307" s="1">
        <v>552391</v>
      </c>
      <c r="I307" s="1">
        <v>115851</v>
      </c>
      <c r="J307" t="s">
        <v>21</v>
      </c>
      <c r="K307">
        <v>2019</v>
      </c>
    </row>
    <row r="308" spans="1:11" x14ac:dyDescent="0.3">
      <c r="A308" t="s">
        <v>6</v>
      </c>
      <c r="B308" t="s">
        <v>42</v>
      </c>
      <c r="C308" t="s">
        <v>11</v>
      </c>
      <c r="D308" t="s">
        <v>26</v>
      </c>
      <c r="E308" s="1">
        <v>727</v>
      </c>
      <c r="F308" s="1">
        <v>350</v>
      </c>
      <c r="G308" s="1">
        <v>254450</v>
      </c>
      <c r="H308" s="1">
        <v>239183</v>
      </c>
      <c r="I308" s="1">
        <v>50163</v>
      </c>
      <c r="J308" t="s">
        <v>10</v>
      </c>
      <c r="K308">
        <v>2018</v>
      </c>
    </row>
    <row r="309" spans="1:11" x14ac:dyDescent="0.3">
      <c r="A309" t="s">
        <v>6</v>
      </c>
      <c r="B309" t="s">
        <v>14</v>
      </c>
      <c r="C309" t="s">
        <v>11</v>
      </c>
      <c r="D309" t="s">
        <v>26</v>
      </c>
      <c r="E309" s="1">
        <v>1403</v>
      </c>
      <c r="F309" s="1">
        <v>7</v>
      </c>
      <c r="G309" s="1">
        <v>9821</v>
      </c>
      <c r="H309" s="1">
        <v>9231.74</v>
      </c>
      <c r="I309" s="1">
        <v>2216.7399999999998</v>
      </c>
      <c r="J309" t="s">
        <v>10</v>
      </c>
      <c r="K309">
        <v>2018</v>
      </c>
    </row>
    <row r="310" spans="1:11" x14ac:dyDescent="0.3">
      <c r="A310" t="s">
        <v>6</v>
      </c>
      <c r="B310" t="s">
        <v>14</v>
      </c>
      <c r="C310" t="s">
        <v>11</v>
      </c>
      <c r="D310" t="s">
        <v>26</v>
      </c>
      <c r="E310" s="1">
        <v>2076</v>
      </c>
      <c r="F310" s="1">
        <v>350</v>
      </c>
      <c r="G310" s="1">
        <v>726600</v>
      </c>
      <c r="H310" s="1">
        <v>683004</v>
      </c>
      <c r="I310" s="1">
        <v>143244</v>
      </c>
      <c r="J310" t="s">
        <v>10</v>
      </c>
      <c r="K310">
        <v>2018</v>
      </c>
    </row>
    <row r="311" spans="1:11" x14ac:dyDescent="0.3">
      <c r="A311" t="s">
        <v>6</v>
      </c>
      <c r="B311" t="s">
        <v>14</v>
      </c>
      <c r="C311" t="s">
        <v>8</v>
      </c>
      <c r="D311" t="s">
        <v>26</v>
      </c>
      <c r="E311" s="1">
        <v>1757</v>
      </c>
      <c r="F311" s="1">
        <v>20</v>
      </c>
      <c r="G311" s="1">
        <v>35140</v>
      </c>
      <c r="H311" s="1">
        <v>33031.599999999999</v>
      </c>
      <c r="I311" s="1">
        <v>15461.599999999999</v>
      </c>
      <c r="J311" t="s">
        <v>10</v>
      </c>
      <c r="K311">
        <v>2018</v>
      </c>
    </row>
    <row r="312" spans="1:11" x14ac:dyDescent="0.3">
      <c r="A312" t="s">
        <v>18</v>
      </c>
      <c r="B312" t="s">
        <v>42</v>
      </c>
      <c r="C312" t="s">
        <v>5</v>
      </c>
      <c r="D312" t="s">
        <v>26</v>
      </c>
      <c r="E312" s="1">
        <v>2198</v>
      </c>
      <c r="F312" s="1">
        <v>15</v>
      </c>
      <c r="G312" s="1">
        <v>32970</v>
      </c>
      <c r="H312" s="1">
        <v>30991.8</v>
      </c>
      <c r="I312" s="1">
        <v>9011.7999999999993</v>
      </c>
      <c r="J312" t="s">
        <v>22</v>
      </c>
      <c r="K312">
        <v>2019</v>
      </c>
    </row>
    <row r="313" spans="1:11" x14ac:dyDescent="0.3">
      <c r="A313" t="s">
        <v>18</v>
      </c>
      <c r="B313" t="s">
        <v>41</v>
      </c>
      <c r="C313" t="s">
        <v>5</v>
      </c>
      <c r="D313" t="s">
        <v>26</v>
      </c>
      <c r="E313" s="1">
        <v>1743</v>
      </c>
      <c r="F313" s="1">
        <v>15</v>
      </c>
      <c r="G313" s="1">
        <v>26145</v>
      </c>
      <c r="H313" s="1">
        <v>24576.3</v>
      </c>
      <c r="I313" s="1">
        <v>7146.2999999999993</v>
      </c>
      <c r="J313" t="s">
        <v>22</v>
      </c>
      <c r="K313">
        <v>2019</v>
      </c>
    </row>
    <row r="314" spans="1:11" x14ac:dyDescent="0.3">
      <c r="A314" t="s">
        <v>18</v>
      </c>
      <c r="B314" t="s">
        <v>42</v>
      </c>
      <c r="C314" t="s">
        <v>5</v>
      </c>
      <c r="D314" t="s">
        <v>26</v>
      </c>
      <c r="E314" s="1">
        <v>1153</v>
      </c>
      <c r="F314" s="1">
        <v>15</v>
      </c>
      <c r="G314" s="1">
        <v>17295</v>
      </c>
      <c r="H314" s="1">
        <v>16257.3</v>
      </c>
      <c r="I314" s="1">
        <v>4727.2999999999993</v>
      </c>
      <c r="J314" t="s">
        <v>10</v>
      </c>
      <c r="K314">
        <v>2019</v>
      </c>
    </row>
    <row r="315" spans="1:11" x14ac:dyDescent="0.3">
      <c r="A315" t="s">
        <v>6</v>
      </c>
      <c r="B315" t="s">
        <v>14</v>
      </c>
      <c r="C315" t="s">
        <v>5</v>
      </c>
      <c r="D315" t="s">
        <v>26</v>
      </c>
      <c r="E315" s="1">
        <v>1757</v>
      </c>
      <c r="F315" s="1">
        <v>20</v>
      </c>
      <c r="G315" s="1">
        <v>35140</v>
      </c>
      <c r="H315" s="1">
        <v>33031.599999999999</v>
      </c>
      <c r="I315" s="1">
        <v>15461.599999999999</v>
      </c>
      <c r="J315" t="s">
        <v>10</v>
      </c>
      <c r="K315">
        <v>2018</v>
      </c>
    </row>
    <row r="316" spans="1:11" x14ac:dyDescent="0.3">
      <c r="A316" t="s">
        <v>6</v>
      </c>
      <c r="B316" t="s">
        <v>41</v>
      </c>
      <c r="C316" t="s">
        <v>20</v>
      </c>
      <c r="D316" t="s">
        <v>26</v>
      </c>
      <c r="E316" s="1">
        <v>1001</v>
      </c>
      <c r="F316" s="1">
        <v>20</v>
      </c>
      <c r="G316" s="1">
        <v>20020</v>
      </c>
      <c r="H316" s="1">
        <v>18818.8</v>
      </c>
      <c r="I316" s="1">
        <v>8808.7999999999993</v>
      </c>
      <c r="J316" t="s">
        <v>22</v>
      </c>
      <c r="K316">
        <v>2019</v>
      </c>
    </row>
    <row r="317" spans="1:11" x14ac:dyDescent="0.3">
      <c r="A317" t="s">
        <v>6</v>
      </c>
      <c r="B317" t="s">
        <v>9</v>
      </c>
      <c r="C317" t="s">
        <v>20</v>
      </c>
      <c r="D317" t="s">
        <v>26</v>
      </c>
      <c r="E317" s="1">
        <v>1333</v>
      </c>
      <c r="F317" s="1">
        <v>7</v>
      </c>
      <c r="G317" s="1">
        <v>9331</v>
      </c>
      <c r="H317" s="1">
        <v>8771.14</v>
      </c>
      <c r="I317" s="1">
        <v>2106.1399999999994</v>
      </c>
      <c r="J317" t="s">
        <v>16</v>
      </c>
      <c r="K317">
        <v>2019</v>
      </c>
    </row>
    <row r="318" spans="1:11" x14ac:dyDescent="0.3">
      <c r="A318" t="s">
        <v>18</v>
      </c>
      <c r="B318" t="s">
        <v>42</v>
      </c>
      <c r="C318" t="s">
        <v>2</v>
      </c>
      <c r="D318" t="s">
        <v>26</v>
      </c>
      <c r="E318" s="1">
        <v>1153</v>
      </c>
      <c r="F318" s="1">
        <v>15</v>
      </c>
      <c r="G318" s="1">
        <v>17295</v>
      </c>
      <c r="H318" s="1">
        <v>16257.3</v>
      </c>
      <c r="I318" s="1">
        <v>4727.2999999999993</v>
      </c>
      <c r="J318" t="s">
        <v>10</v>
      </c>
      <c r="K318">
        <v>2019</v>
      </c>
    </row>
    <row r="319" spans="1:11" x14ac:dyDescent="0.3">
      <c r="A319" t="s">
        <v>3</v>
      </c>
      <c r="B319" t="s">
        <v>9</v>
      </c>
      <c r="C319" t="s">
        <v>23</v>
      </c>
      <c r="D319" t="s">
        <v>26</v>
      </c>
      <c r="E319" s="1">
        <v>727</v>
      </c>
      <c r="F319" s="1">
        <v>12</v>
      </c>
      <c r="G319" s="1">
        <v>8724</v>
      </c>
      <c r="H319" s="1">
        <v>8113.32</v>
      </c>
      <c r="I319" s="1">
        <v>5932.32</v>
      </c>
      <c r="J319" t="s">
        <v>7</v>
      </c>
      <c r="K319">
        <v>2019</v>
      </c>
    </row>
    <row r="320" spans="1:11" x14ac:dyDescent="0.3">
      <c r="A320" t="s">
        <v>3</v>
      </c>
      <c r="B320" t="s">
        <v>40</v>
      </c>
      <c r="C320" t="s">
        <v>23</v>
      </c>
      <c r="D320" t="s">
        <v>26</v>
      </c>
      <c r="E320" s="1">
        <v>1884</v>
      </c>
      <c r="F320" s="1">
        <v>12</v>
      </c>
      <c r="G320" s="1">
        <v>22608</v>
      </c>
      <c r="H320" s="1">
        <v>21025.439999999999</v>
      </c>
      <c r="I320" s="1">
        <v>15373.439999999999</v>
      </c>
      <c r="J320" t="s">
        <v>22</v>
      </c>
      <c r="K320">
        <v>2019</v>
      </c>
    </row>
    <row r="321" spans="1:11" x14ac:dyDescent="0.3">
      <c r="A321" t="s">
        <v>6</v>
      </c>
      <c r="B321" t="s">
        <v>9</v>
      </c>
      <c r="C321" t="s">
        <v>23</v>
      </c>
      <c r="D321" t="s">
        <v>26</v>
      </c>
      <c r="E321" s="1">
        <v>1834</v>
      </c>
      <c r="F321" s="1">
        <v>20</v>
      </c>
      <c r="G321" s="1">
        <v>36680</v>
      </c>
      <c r="H321" s="1">
        <v>34112.400000000001</v>
      </c>
      <c r="I321" s="1">
        <v>15772.400000000001</v>
      </c>
      <c r="J321" t="s">
        <v>21</v>
      </c>
      <c r="K321">
        <v>2018</v>
      </c>
    </row>
    <row r="322" spans="1:11" x14ac:dyDescent="0.3">
      <c r="A322" t="s">
        <v>3</v>
      </c>
      <c r="B322" t="s">
        <v>9</v>
      </c>
      <c r="C322" t="s">
        <v>8</v>
      </c>
      <c r="D322" t="s">
        <v>26</v>
      </c>
      <c r="E322" s="1">
        <v>2340</v>
      </c>
      <c r="F322" s="1">
        <v>12</v>
      </c>
      <c r="G322" s="1">
        <v>28080</v>
      </c>
      <c r="H322" s="1">
        <v>26114.400000000001</v>
      </c>
      <c r="I322" s="1">
        <v>19094.400000000001</v>
      </c>
      <c r="J322" t="s">
        <v>24</v>
      </c>
      <c r="K322">
        <v>2019</v>
      </c>
    </row>
    <row r="323" spans="1:11" x14ac:dyDescent="0.3">
      <c r="A323" t="s">
        <v>3</v>
      </c>
      <c r="B323" t="s">
        <v>14</v>
      </c>
      <c r="C323" t="s">
        <v>8</v>
      </c>
      <c r="D323" t="s">
        <v>26</v>
      </c>
      <c r="E323" s="1">
        <v>2342</v>
      </c>
      <c r="F323" s="1">
        <v>12</v>
      </c>
      <c r="G323" s="1">
        <v>28104</v>
      </c>
      <c r="H323" s="1">
        <v>26136.720000000001</v>
      </c>
      <c r="I323" s="1">
        <v>19110.72</v>
      </c>
      <c r="J323" t="s">
        <v>16</v>
      </c>
      <c r="K323">
        <v>2019</v>
      </c>
    </row>
    <row r="324" spans="1:11" x14ac:dyDescent="0.3">
      <c r="A324" t="s">
        <v>6</v>
      </c>
      <c r="B324" t="s">
        <v>14</v>
      </c>
      <c r="C324" t="s">
        <v>5</v>
      </c>
      <c r="D324" t="s">
        <v>26</v>
      </c>
      <c r="E324" s="1">
        <v>1031</v>
      </c>
      <c r="F324" s="1">
        <v>7</v>
      </c>
      <c r="G324" s="1">
        <v>7217</v>
      </c>
      <c r="H324" s="1">
        <v>6711.81</v>
      </c>
      <c r="I324" s="1">
        <v>1556.8100000000004</v>
      </c>
      <c r="J324" t="s">
        <v>21</v>
      </c>
      <c r="K324">
        <v>2018</v>
      </c>
    </row>
    <row r="325" spans="1:11" x14ac:dyDescent="0.3">
      <c r="A325" t="s">
        <v>18</v>
      </c>
      <c r="B325" t="s">
        <v>40</v>
      </c>
      <c r="C325" t="s">
        <v>20</v>
      </c>
      <c r="D325" t="s">
        <v>26</v>
      </c>
      <c r="E325" s="1">
        <v>1262</v>
      </c>
      <c r="F325" s="1">
        <v>15</v>
      </c>
      <c r="G325" s="1">
        <v>18930</v>
      </c>
      <c r="H325" s="1">
        <v>17604.900000000001</v>
      </c>
      <c r="I325" s="1">
        <v>4984.9000000000015</v>
      </c>
      <c r="J325" t="s">
        <v>0</v>
      </c>
      <c r="K325">
        <v>2019</v>
      </c>
    </row>
    <row r="326" spans="1:11" x14ac:dyDescent="0.3">
      <c r="A326" t="s">
        <v>6</v>
      </c>
      <c r="B326" t="s">
        <v>40</v>
      </c>
      <c r="C326" t="s">
        <v>20</v>
      </c>
      <c r="D326" t="s">
        <v>26</v>
      </c>
      <c r="E326" s="1">
        <v>1135</v>
      </c>
      <c r="F326" s="1">
        <v>7</v>
      </c>
      <c r="G326" s="1">
        <v>7945</v>
      </c>
      <c r="H326" s="1">
        <v>7388.85</v>
      </c>
      <c r="I326" s="1">
        <v>1713.8500000000004</v>
      </c>
      <c r="J326" t="s">
        <v>25</v>
      </c>
      <c r="K326">
        <v>2019</v>
      </c>
    </row>
    <row r="327" spans="1:11" x14ac:dyDescent="0.3">
      <c r="A327" t="s">
        <v>6</v>
      </c>
      <c r="B327" t="s">
        <v>42</v>
      </c>
      <c r="C327" t="s">
        <v>20</v>
      </c>
      <c r="D327" t="s">
        <v>26</v>
      </c>
      <c r="E327" s="1">
        <v>547</v>
      </c>
      <c r="F327" s="1">
        <v>7</v>
      </c>
      <c r="G327" s="1">
        <v>3829</v>
      </c>
      <c r="H327" s="1">
        <v>3560.9700000000003</v>
      </c>
      <c r="I327" s="1">
        <v>825.97000000000025</v>
      </c>
      <c r="J327" t="s">
        <v>16</v>
      </c>
      <c r="K327">
        <v>2019</v>
      </c>
    </row>
    <row r="328" spans="1:11" x14ac:dyDescent="0.3">
      <c r="A328" t="s">
        <v>6</v>
      </c>
      <c r="B328" t="s">
        <v>40</v>
      </c>
      <c r="C328" t="s">
        <v>20</v>
      </c>
      <c r="D328" t="s">
        <v>26</v>
      </c>
      <c r="E328" s="1">
        <v>1582</v>
      </c>
      <c r="F328" s="1">
        <v>7</v>
      </c>
      <c r="G328" s="1">
        <v>11074</v>
      </c>
      <c r="H328" s="1">
        <v>10298.82</v>
      </c>
      <c r="I328" s="1">
        <v>2388.8199999999997</v>
      </c>
      <c r="J328" t="s">
        <v>15</v>
      </c>
      <c r="K328">
        <v>2019</v>
      </c>
    </row>
    <row r="329" spans="1:11" x14ac:dyDescent="0.3">
      <c r="A329" t="s">
        <v>3</v>
      </c>
      <c r="B329" t="s">
        <v>14</v>
      </c>
      <c r="C329" t="s">
        <v>2</v>
      </c>
      <c r="D329" t="s">
        <v>26</v>
      </c>
      <c r="E329" s="1">
        <v>1738.5</v>
      </c>
      <c r="F329" s="1">
        <v>12</v>
      </c>
      <c r="G329" s="1">
        <v>20862</v>
      </c>
      <c r="H329" s="1">
        <v>19401.66</v>
      </c>
      <c r="I329" s="1">
        <v>14186.16</v>
      </c>
      <c r="J329" t="s">
        <v>4</v>
      </c>
      <c r="K329">
        <v>2019</v>
      </c>
    </row>
    <row r="330" spans="1:11" x14ac:dyDescent="0.3">
      <c r="A330" t="s">
        <v>3</v>
      </c>
      <c r="B330" t="s">
        <v>41</v>
      </c>
      <c r="C330" t="s">
        <v>2</v>
      </c>
      <c r="D330" t="s">
        <v>26</v>
      </c>
      <c r="E330" s="1">
        <v>2215</v>
      </c>
      <c r="F330" s="1">
        <v>12</v>
      </c>
      <c r="G330" s="1">
        <v>26580</v>
      </c>
      <c r="H330" s="1">
        <v>24719.4</v>
      </c>
      <c r="I330" s="1">
        <v>18074.400000000001</v>
      </c>
      <c r="J330" t="s">
        <v>21</v>
      </c>
      <c r="K330">
        <v>2018</v>
      </c>
    </row>
    <row r="331" spans="1:11" x14ac:dyDescent="0.3">
      <c r="A331" t="s">
        <v>6</v>
      </c>
      <c r="B331" t="s">
        <v>40</v>
      </c>
      <c r="C331" t="s">
        <v>2</v>
      </c>
      <c r="D331" t="s">
        <v>26</v>
      </c>
      <c r="E331" s="1">
        <v>1582</v>
      </c>
      <c r="F331" s="1">
        <v>7</v>
      </c>
      <c r="G331" s="1">
        <v>11074</v>
      </c>
      <c r="H331" s="1">
        <v>10298.82</v>
      </c>
      <c r="I331" s="1">
        <v>2388.8199999999997</v>
      </c>
      <c r="J331" t="s">
        <v>15</v>
      </c>
      <c r="K331">
        <v>2019</v>
      </c>
    </row>
    <row r="332" spans="1:11" x14ac:dyDescent="0.3">
      <c r="A332" t="s">
        <v>6</v>
      </c>
      <c r="B332" t="s">
        <v>40</v>
      </c>
      <c r="C332" t="s">
        <v>11</v>
      </c>
      <c r="D332" t="s">
        <v>26</v>
      </c>
      <c r="E332" s="1">
        <v>1135</v>
      </c>
      <c r="F332" s="1">
        <v>7</v>
      </c>
      <c r="G332" s="1">
        <v>7945</v>
      </c>
      <c r="H332" s="1">
        <v>7388.85</v>
      </c>
      <c r="I332" s="1">
        <v>1713.8500000000004</v>
      </c>
      <c r="J332" t="s">
        <v>25</v>
      </c>
      <c r="K332">
        <v>2019</v>
      </c>
    </row>
    <row r="333" spans="1:11" x14ac:dyDescent="0.3">
      <c r="A333" t="s">
        <v>6</v>
      </c>
      <c r="B333" t="s">
        <v>42</v>
      </c>
      <c r="C333" t="s">
        <v>23</v>
      </c>
      <c r="D333" t="s">
        <v>26</v>
      </c>
      <c r="E333" s="1">
        <v>1761</v>
      </c>
      <c r="F333" s="1">
        <v>350</v>
      </c>
      <c r="G333" s="1">
        <v>616350</v>
      </c>
      <c r="H333" s="1">
        <v>573205.5</v>
      </c>
      <c r="I333" s="1">
        <v>115345.5</v>
      </c>
      <c r="J333" t="s">
        <v>13</v>
      </c>
      <c r="K333">
        <v>2019</v>
      </c>
    </row>
    <row r="334" spans="1:11" x14ac:dyDescent="0.3">
      <c r="A334" t="s">
        <v>12</v>
      </c>
      <c r="B334" t="s">
        <v>14</v>
      </c>
      <c r="C334" t="s">
        <v>23</v>
      </c>
      <c r="D334" t="s">
        <v>26</v>
      </c>
      <c r="E334" s="1">
        <v>448</v>
      </c>
      <c r="F334" s="1">
        <v>300</v>
      </c>
      <c r="G334" s="1">
        <v>134400</v>
      </c>
      <c r="H334" s="1">
        <v>124992</v>
      </c>
      <c r="I334" s="1">
        <v>12992</v>
      </c>
      <c r="J334" t="s">
        <v>25</v>
      </c>
      <c r="K334">
        <v>2019</v>
      </c>
    </row>
    <row r="335" spans="1:11" x14ac:dyDescent="0.3">
      <c r="A335" t="s">
        <v>12</v>
      </c>
      <c r="B335" t="s">
        <v>14</v>
      </c>
      <c r="C335" t="s">
        <v>23</v>
      </c>
      <c r="D335" t="s">
        <v>26</v>
      </c>
      <c r="E335" s="1">
        <v>2181</v>
      </c>
      <c r="F335" s="1">
        <v>300</v>
      </c>
      <c r="G335" s="1">
        <v>654300</v>
      </c>
      <c r="H335" s="1">
        <v>608499</v>
      </c>
      <c r="I335" s="1">
        <v>63249</v>
      </c>
      <c r="J335" t="s">
        <v>10</v>
      </c>
      <c r="K335">
        <v>2019</v>
      </c>
    </row>
    <row r="336" spans="1:11" x14ac:dyDescent="0.3">
      <c r="A336" t="s">
        <v>6</v>
      </c>
      <c r="B336" t="s">
        <v>14</v>
      </c>
      <c r="C336" t="s">
        <v>8</v>
      </c>
      <c r="D336" t="s">
        <v>26</v>
      </c>
      <c r="E336" s="1">
        <v>1976</v>
      </c>
      <c r="F336" s="1">
        <v>20</v>
      </c>
      <c r="G336" s="1">
        <v>39520</v>
      </c>
      <c r="H336" s="1">
        <v>36753.599999999999</v>
      </c>
      <c r="I336" s="1">
        <v>16993.599999999999</v>
      </c>
      <c r="J336" t="s">
        <v>10</v>
      </c>
      <c r="K336">
        <v>2019</v>
      </c>
    </row>
    <row r="337" spans="1:11" x14ac:dyDescent="0.3">
      <c r="A337" t="s">
        <v>12</v>
      </c>
      <c r="B337" t="s">
        <v>14</v>
      </c>
      <c r="C337" t="s">
        <v>8</v>
      </c>
      <c r="D337" t="s">
        <v>26</v>
      </c>
      <c r="E337" s="1">
        <v>2181</v>
      </c>
      <c r="F337" s="1">
        <v>300</v>
      </c>
      <c r="G337" s="1">
        <v>654300</v>
      </c>
      <c r="H337" s="1">
        <v>608499</v>
      </c>
      <c r="I337" s="1">
        <v>63249</v>
      </c>
      <c r="J337" t="s">
        <v>10</v>
      </c>
      <c r="K337">
        <v>2019</v>
      </c>
    </row>
    <row r="338" spans="1:11" x14ac:dyDescent="0.3">
      <c r="A338" t="s">
        <v>17</v>
      </c>
      <c r="B338" t="s">
        <v>41</v>
      </c>
      <c r="C338" t="s">
        <v>8</v>
      </c>
      <c r="D338" t="s">
        <v>26</v>
      </c>
      <c r="E338" s="1">
        <v>2500</v>
      </c>
      <c r="F338" s="1">
        <v>125</v>
      </c>
      <c r="G338" s="1">
        <v>312500</v>
      </c>
      <c r="H338" s="1">
        <v>290625</v>
      </c>
      <c r="I338" s="1">
        <v>-9375</v>
      </c>
      <c r="J338" t="s">
        <v>16</v>
      </c>
      <c r="K338">
        <v>2018</v>
      </c>
    </row>
    <row r="339" spans="1:11" x14ac:dyDescent="0.3">
      <c r="A339" t="s">
        <v>12</v>
      </c>
      <c r="B339" t="s">
        <v>40</v>
      </c>
      <c r="C339" t="s">
        <v>5</v>
      </c>
      <c r="D339" t="s">
        <v>26</v>
      </c>
      <c r="E339" s="1">
        <v>1702</v>
      </c>
      <c r="F339" s="1">
        <v>300</v>
      </c>
      <c r="G339" s="1">
        <v>510600</v>
      </c>
      <c r="H339" s="1">
        <v>474858</v>
      </c>
      <c r="I339" s="1">
        <v>49358</v>
      </c>
      <c r="J339" t="s">
        <v>0</v>
      </c>
      <c r="K339">
        <v>2019</v>
      </c>
    </row>
    <row r="340" spans="1:11" x14ac:dyDescent="0.3">
      <c r="A340" t="s">
        <v>12</v>
      </c>
      <c r="B340" t="s">
        <v>14</v>
      </c>
      <c r="C340" t="s">
        <v>5</v>
      </c>
      <c r="D340" t="s">
        <v>26</v>
      </c>
      <c r="E340" s="1">
        <v>448</v>
      </c>
      <c r="F340" s="1">
        <v>300</v>
      </c>
      <c r="G340" s="1">
        <v>134400</v>
      </c>
      <c r="H340" s="1">
        <v>124992</v>
      </c>
      <c r="I340" s="1">
        <v>12992</v>
      </c>
      <c r="J340" t="s">
        <v>25</v>
      </c>
      <c r="K340">
        <v>2019</v>
      </c>
    </row>
    <row r="341" spans="1:11" x14ac:dyDescent="0.3">
      <c r="A341" t="s">
        <v>17</v>
      </c>
      <c r="B341" t="s">
        <v>41</v>
      </c>
      <c r="C341" t="s">
        <v>5</v>
      </c>
      <c r="D341" t="s">
        <v>26</v>
      </c>
      <c r="E341" s="1">
        <v>3513</v>
      </c>
      <c r="F341" s="1">
        <v>125</v>
      </c>
      <c r="G341" s="1">
        <v>439125</v>
      </c>
      <c r="H341" s="1">
        <v>408386.25</v>
      </c>
      <c r="I341" s="1">
        <v>-13173.75</v>
      </c>
      <c r="J341" t="s">
        <v>19</v>
      </c>
      <c r="K341">
        <v>2019</v>
      </c>
    </row>
    <row r="342" spans="1:11" x14ac:dyDescent="0.3">
      <c r="A342" t="s">
        <v>18</v>
      </c>
      <c r="B342" t="s">
        <v>14</v>
      </c>
      <c r="C342" t="s">
        <v>5</v>
      </c>
      <c r="D342" t="s">
        <v>26</v>
      </c>
      <c r="E342" s="1">
        <v>2101</v>
      </c>
      <c r="F342" s="1">
        <v>15</v>
      </c>
      <c r="G342" s="1">
        <v>31515</v>
      </c>
      <c r="H342" s="1">
        <v>29308.95</v>
      </c>
      <c r="I342" s="1">
        <v>8298.9500000000007</v>
      </c>
      <c r="J342" t="s">
        <v>22</v>
      </c>
      <c r="K342">
        <v>2019</v>
      </c>
    </row>
    <row r="343" spans="1:11" x14ac:dyDescent="0.3">
      <c r="A343" t="s">
        <v>18</v>
      </c>
      <c r="B343" t="s">
        <v>42</v>
      </c>
      <c r="C343" t="s">
        <v>5</v>
      </c>
      <c r="D343" t="s">
        <v>26</v>
      </c>
      <c r="E343" s="1">
        <v>2931</v>
      </c>
      <c r="F343" s="1">
        <v>15</v>
      </c>
      <c r="G343" s="1">
        <v>43965</v>
      </c>
      <c r="H343" s="1">
        <v>40887.449999999997</v>
      </c>
      <c r="I343" s="1">
        <v>11577.449999999997</v>
      </c>
      <c r="J343" t="s">
        <v>21</v>
      </c>
      <c r="K343">
        <v>2018</v>
      </c>
    </row>
    <row r="344" spans="1:11" x14ac:dyDescent="0.3">
      <c r="A344" t="s">
        <v>6</v>
      </c>
      <c r="B344" t="s">
        <v>14</v>
      </c>
      <c r="C344" t="s">
        <v>5</v>
      </c>
      <c r="D344" t="s">
        <v>26</v>
      </c>
      <c r="E344" s="1">
        <v>1535</v>
      </c>
      <c r="F344" s="1">
        <v>20</v>
      </c>
      <c r="G344" s="1">
        <v>30700</v>
      </c>
      <c r="H344" s="1">
        <v>28551</v>
      </c>
      <c r="I344" s="1">
        <v>13201</v>
      </c>
      <c r="J344" t="s">
        <v>21</v>
      </c>
      <c r="K344">
        <v>2019</v>
      </c>
    </row>
    <row r="345" spans="1:11" x14ac:dyDescent="0.3">
      <c r="A345" t="s">
        <v>12</v>
      </c>
      <c r="B345" t="s">
        <v>41</v>
      </c>
      <c r="C345" t="s">
        <v>5</v>
      </c>
      <c r="D345" t="s">
        <v>26</v>
      </c>
      <c r="E345" s="1">
        <v>1123</v>
      </c>
      <c r="F345" s="1">
        <v>300</v>
      </c>
      <c r="G345" s="1">
        <v>336900</v>
      </c>
      <c r="H345" s="1">
        <v>313317</v>
      </c>
      <c r="I345" s="1">
        <v>32567</v>
      </c>
      <c r="J345" t="s">
        <v>21</v>
      </c>
      <c r="K345">
        <v>2018</v>
      </c>
    </row>
    <row r="346" spans="1:11" x14ac:dyDescent="0.3">
      <c r="A346" t="s">
        <v>12</v>
      </c>
      <c r="B346" t="s">
        <v>40</v>
      </c>
      <c r="C346" t="s">
        <v>5</v>
      </c>
      <c r="D346" t="s">
        <v>26</v>
      </c>
      <c r="E346" s="1">
        <v>1404</v>
      </c>
      <c r="F346" s="1">
        <v>300</v>
      </c>
      <c r="G346" s="1">
        <v>421200</v>
      </c>
      <c r="H346" s="1">
        <v>391716</v>
      </c>
      <c r="I346" s="1">
        <v>40716</v>
      </c>
      <c r="J346" t="s">
        <v>16</v>
      </c>
      <c r="K346">
        <v>2018</v>
      </c>
    </row>
    <row r="347" spans="1:11" x14ac:dyDescent="0.3">
      <c r="A347" t="s">
        <v>3</v>
      </c>
      <c r="B347" t="s">
        <v>9</v>
      </c>
      <c r="C347" t="s">
        <v>5</v>
      </c>
      <c r="D347" t="s">
        <v>26</v>
      </c>
      <c r="E347" s="1">
        <v>2763</v>
      </c>
      <c r="F347" s="1">
        <v>12</v>
      </c>
      <c r="G347" s="1">
        <v>33156</v>
      </c>
      <c r="H347" s="1">
        <v>30835.08</v>
      </c>
      <c r="I347" s="1">
        <v>22546.080000000002</v>
      </c>
      <c r="J347" t="s">
        <v>16</v>
      </c>
      <c r="K347">
        <v>2018</v>
      </c>
    </row>
    <row r="348" spans="1:11" x14ac:dyDescent="0.3">
      <c r="A348" t="s">
        <v>6</v>
      </c>
      <c r="B348" t="s">
        <v>41</v>
      </c>
      <c r="C348" t="s">
        <v>5</v>
      </c>
      <c r="D348" t="s">
        <v>26</v>
      </c>
      <c r="E348" s="1">
        <v>2125</v>
      </c>
      <c r="F348" s="1">
        <v>7</v>
      </c>
      <c r="G348" s="1">
        <v>14875</v>
      </c>
      <c r="H348" s="1">
        <v>13833.75</v>
      </c>
      <c r="I348" s="1">
        <v>3208.75</v>
      </c>
      <c r="J348" t="s">
        <v>15</v>
      </c>
      <c r="K348">
        <v>2018</v>
      </c>
    </row>
    <row r="349" spans="1:11" x14ac:dyDescent="0.3">
      <c r="A349" t="s">
        <v>12</v>
      </c>
      <c r="B349" t="s">
        <v>14</v>
      </c>
      <c r="C349" t="s">
        <v>20</v>
      </c>
      <c r="D349" t="s">
        <v>26</v>
      </c>
      <c r="E349" s="1">
        <v>1659</v>
      </c>
      <c r="F349" s="1">
        <v>300</v>
      </c>
      <c r="G349" s="1">
        <v>497700</v>
      </c>
      <c r="H349" s="1">
        <v>462861</v>
      </c>
      <c r="I349" s="1">
        <v>48111</v>
      </c>
      <c r="J349" t="s">
        <v>19</v>
      </c>
      <c r="K349">
        <v>2019</v>
      </c>
    </row>
    <row r="350" spans="1:11" x14ac:dyDescent="0.3">
      <c r="A350" t="s">
        <v>6</v>
      </c>
      <c r="B350" t="s">
        <v>9</v>
      </c>
      <c r="C350" t="s">
        <v>20</v>
      </c>
      <c r="D350" t="s">
        <v>26</v>
      </c>
      <c r="E350" s="1">
        <v>609</v>
      </c>
      <c r="F350" s="1">
        <v>20</v>
      </c>
      <c r="G350" s="1">
        <v>12180</v>
      </c>
      <c r="H350" s="1">
        <v>11327.4</v>
      </c>
      <c r="I350" s="1">
        <v>5237.3999999999996</v>
      </c>
      <c r="J350" t="s">
        <v>22</v>
      </c>
      <c r="K350">
        <v>2019</v>
      </c>
    </row>
    <row r="351" spans="1:11" x14ac:dyDescent="0.3">
      <c r="A351" t="s">
        <v>17</v>
      </c>
      <c r="B351" t="s">
        <v>41</v>
      </c>
      <c r="C351" t="s">
        <v>20</v>
      </c>
      <c r="D351" t="s">
        <v>26</v>
      </c>
      <c r="E351" s="1">
        <v>2087</v>
      </c>
      <c r="F351" s="1">
        <v>125</v>
      </c>
      <c r="G351" s="1">
        <v>260875</v>
      </c>
      <c r="H351" s="1">
        <v>242613.75</v>
      </c>
      <c r="I351" s="1">
        <v>-7826.25</v>
      </c>
      <c r="J351" t="s">
        <v>21</v>
      </c>
      <c r="K351">
        <v>2019</v>
      </c>
    </row>
    <row r="352" spans="1:11" x14ac:dyDescent="0.3">
      <c r="A352" t="s">
        <v>6</v>
      </c>
      <c r="B352" t="s">
        <v>14</v>
      </c>
      <c r="C352" t="s">
        <v>20</v>
      </c>
      <c r="D352" t="s">
        <v>26</v>
      </c>
      <c r="E352" s="1">
        <v>1976</v>
      </c>
      <c r="F352" s="1">
        <v>20</v>
      </c>
      <c r="G352" s="1">
        <v>39520</v>
      </c>
      <c r="H352" s="1">
        <v>36753.599999999999</v>
      </c>
      <c r="I352" s="1">
        <v>16993.599999999999</v>
      </c>
      <c r="J352" t="s">
        <v>10</v>
      </c>
      <c r="K352">
        <v>2019</v>
      </c>
    </row>
    <row r="353" spans="1:11" x14ac:dyDescent="0.3">
      <c r="A353" t="s">
        <v>6</v>
      </c>
      <c r="B353" t="s">
        <v>42</v>
      </c>
      <c r="C353" t="s">
        <v>20</v>
      </c>
      <c r="D353" t="s">
        <v>26</v>
      </c>
      <c r="E353" s="1">
        <v>1421</v>
      </c>
      <c r="F353" s="1">
        <v>20</v>
      </c>
      <c r="G353" s="1">
        <v>28420</v>
      </c>
      <c r="H353" s="1">
        <v>26430.6</v>
      </c>
      <c r="I353" s="1">
        <v>12220.599999999999</v>
      </c>
      <c r="J353" t="s">
        <v>15</v>
      </c>
      <c r="K353">
        <v>2018</v>
      </c>
    </row>
    <row r="354" spans="1:11" x14ac:dyDescent="0.3">
      <c r="A354" t="s">
        <v>12</v>
      </c>
      <c r="B354" t="s">
        <v>42</v>
      </c>
      <c r="C354" t="s">
        <v>20</v>
      </c>
      <c r="D354" t="s">
        <v>26</v>
      </c>
      <c r="E354" s="1">
        <v>1372</v>
      </c>
      <c r="F354" s="1">
        <v>300</v>
      </c>
      <c r="G354" s="1">
        <v>411600</v>
      </c>
      <c r="H354" s="1">
        <v>382788</v>
      </c>
      <c r="I354" s="1">
        <v>39788</v>
      </c>
      <c r="J354" t="s">
        <v>15</v>
      </c>
      <c r="K354">
        <v>2019</v>
      </c>
    </row>
    <row r="355" spans="1:11" x14ac:dyDescent="0.3">
      <c r="A355" t="s">
        <v>6</v>
      </c>
      <c r="B355" t="s">
        <v>41</v>
      </c>
      <c r="C355" t="s">
        <v>20</v>
      </c>
      <c r="D355" t="s">
        <v>26</v>
      </c>
      <c r="E355" s="1">
        <v>588</v>
      </c>
      <c r="F355" s="1">
        <v>20</v>
      </c>
      <c r="G355" s="1">
        <v>11760</v>
      </c>
      <c r="H355" s="1">
        <v>10936.8</v>
      </c>
      <c r="I355" s="1">
        <v>5056.7999999999993</v>
      </c>
      <c r="J355" t="s">
        <v>15</v>
      </c>
      <c r="K355">
        <v>2018</v>
      </c>
    </row>
    <row r="356" spans="1:11" x14ac:dyDescent="0.3">
      <c r="A356" t="s">
        <v>3</v>
      </c>
      <c r="B356" t="s">
        <v>40</v>
      </c>
      <c r="C356" t="s">
        <v>2</v>
      </c>
      <c r="D356" t="s">
        <v>26</v>
      </c>
      <c r="E356" s="1">
        <v>3244.5</v>
      </c>
      <c r="F356" s="1">
        <v>12</v>
      </c>
      <c r="G356" s="1">
        <v>38934</v>
      </c>
      <c r="H356" s="1">
        <v>36208.620000000003</v>
      </c>
      <c r="I356" s="1">
        <v>26475.120000000003</v>
      </c>
      <c r="J356" t="s">
        <v>24</v>
      </c>
      <c r="K356">
        <v>2019</v>
      </c>
    </row>
    <row r="357" spans="1:11" x14ac:dyDescent="0.3">
      <c r="A357" t="s">
        <v>12</v>
      </c>
      <c r="B357" t="s">
        <v>14</v>
      </c>
      <c r="C357" t="s">
        <v>2</v>
      </c>
      <c r="D357" t="s">
        <v>26</v>
      </c>
      <c r="E357" s="1">
        <v>959</v>
      </c>
      <c r="F357" s="1">
        <v>300</v>
      </c>
      <c r="G357" s="1">
        <v>287700</v>
      </c>
      <c r="H357" s="1">
        <v>267561</v>
      </c>
      <c r="I357" s="1">
        <v>27811</v>
      </c>
      <c r="J357" t="s">
        <v>7</v>
      </c>
      <c r="K357">
        <v>2019</v>
      </c>
    </row>
    <row r="358" spans="1:11" x14ac:dyDescent="0.3">
      <c r="A358" t="s">
        <v>12</v>
      </c>
      <c r="B358" t="s">
        <v>9</v>
      </c>
      <c r="C358" t="s">
        <v>2</v>
      </c>
      <c r="D358" t="s">
        <v>26</v>
      </c>
      <c r="E358" s="1">
        <v>2747</v>
      </c>
      <c r="F358" s="1">
        <v>300</v>
      </c>
      <c r="G358" s="1">
        <v>824100</v>
      </c>
      <c r="H358" s="1">
        <v>766413</v>
      </c>
      <c r="I358" s="1">
        <v>79663</v>
      </c>
      <c r="J358" t="s">
        <v>7</v>
      </c>
      <c r="K358">
        <v>2019</v>
      </c>
    </row>
    <row r="359" spans="1:11" x14ac:dyDescent="0.3">
      <c r="A359" t="s">
        <v>17</v>
      </c>
      <c r="B359" t="s">
        <v>40</v>
      </c>
      <c r="C359" t="s">
        <v>11</v>
      </c>
      <c r="D359" t="s">
        <v>26</v>
      </c>
      <c r="E359" s="1">
        <v>1645</v>
      </c>
      <c r="F359" s="1">
        <v>125</v>
      </c>
      <c r="G359" s="1">
        <v>205625</v>
      </c>
      <c r="H359" s="1">
        <v>191231.25</v>
      </c>
      <c r="I359" s="1">
        <v>-6168.75</v>
      </c>
      <c r="J359" t="s">
        <v>0</v>
      </c>
      <c r="K359">
        <v>2019</v>
      </c>
    </row>
    <row r="360" spans="1:11" x14ac:dyDescent="0.3">
      <c r="A360" t="s">
        <v>6</v>
      </c>
      <c r="B360" t="s">
        <v>14</v>
      </c>
      <c r="C360" t="s">
        <v>11</v>
      </c>
      <c r="D360" t="s">
        <v>26</v>
      </c>
      <c r="E360" s="1">
        <v>2876</v>
      </c>
      <c r="F360" s="1">
        <v>350</v>
      </c>
      <c r="G360" s="1">
        <v>1006600</v>
      </c>
      <c r="H360" s="1">
        <v>936138</v>
      </c>
      <c r="I360" s="1">
        <v>188378</v>
      </c>
      <c r="J360" t="s">
        <v>21</v>
      </c>
      <c r="K360">
        <v>2019</v>
      </c>
    </row>
    <row r="361" spans="1:11" x14ac:dyDescent="0.3">
      <c r="A361" t="s">
        <v>17</v>
      </c>
      <c r="B361" t="s">
        <v>41</v>
      </c>
      <c r="C361" t="s">
        <v>11</v>
      </c>
      <c r="D361" t="s">
        <v>26</v>
      </c>
      <c r="E361" s="1">
        <v>994</v>
      </c>
      <c r="F361" s="1">
        <v>125</v>
      </c>
      <c r="G361" s="1">
        <v>124250</v>
      </c>
      <c r="H361" s="1">
        <v>115552.5</v>
      </c>
      <c r="I361" s="1">
        <v>-3727.5</v>
      </c>
      <c r="J361" t="s">
        <v>21</v>
      </c>
      <c r="K361">
        <v>2018</v>
      </c>
    </row>
    <row r="362" spans="1:11" x14ac:dyDescent="0.3">
      <c r="A362" t="s">
        <v>6</v>
      </c>
      <c r="B362" t="s">
        <v>40</v>
      </c>
      <c r="C362" t="s">
        <v>11</v>
      </c>
      <c r="D362" t="s">
        <v>26</v>
      </c>
      <c r="E362" s="1">
        <v>1118</v>
      </c>
      <c r="F362" s="1">
        <v>20</v>
      </c>
      <c r="G362" s="1">
        <v>22360</v>
      </c>
      <c r="H362" s="1">
        <v>20794.8</v>
      </c>
      <c r="I362" s="1">
        <v>9614.7999999999993</v>
      </c>
      <c r="J362" t="s">
        <v>16</v>
      </c>
      <c r="K362">
        <v>2019</v>
      </c>
    </row>
    <row r="363" spans="1:11" x14ac:dyDescent="0.3">
      <c r="A363" t="s">
        <v>12</v>
      </c>
      <c r="B363" t="s">
        <v>42</v>
      </c>
      <c r="C363" t="s">
        <v>11</v>
      </c>
      <c r="D363" t="s">
        <v>26</v>
      </c>
      <c r="E363" s="1">
        <v>1372</v>
      </c>
      <c r="F363" s="1">
        <v>300</v>
      </c>
      <c r="G363" s="1">
        <v>411600</v>
      </c>
      <c r="H363" s="1">
        <v>382788</v>
      </c>
      <c r="I363" s="1">
        <v>39788</v>
      </c>
      <c r="J363" t="s">
        <v>15</v>
      </c>
      <c r="K363">
        <v>2019</v>
      </c>
    </row>
    <row r="364" spans="1:11" x14ac:dyDescent="0.3">
      <c r="A364" t="s">
        <v>6</v>
      </c>
      <c r="B364" t="s">
        <v>40</v>
      </c>
      <c r="C364" t="s">
        <v>8</v>
      </c>
      <c r="D364" t="s">
        <v>26</v>
      </c>
      <c r="E364" s="1">
        <v>488</v>
      </c>
      <c r="F364" s="1">
        <v>7</v>
      </c>
      <c r="G364" s="1">
        <v>3416</v>
      </c>
      <c r="H364" s="1">
        <v>3142.7200000000003</v>
      </c>
      <c r="I364" s="1">
        <v>702.72000000000025</v>
      </c>
      <c r="J364" t="s">
        <v>7</v>
      </c>
      <c r="K364">
        <v>2019</v>
      </c>
    </row>
    <row r="365" spans="1:11" x14ac:dyDescent="0.3">
      <c r="A365" t="s">
        <v>6</v>
      </c>
      <c r="B365" t="s">
        <v>42</v>
      </c>
      <c r="C365" t="s">
        <v>8</v>
      </c>
      <c r="D365" t="s">
        <v>26</v>
      </c>
      <c r="E365" s="1">
        <v>1282</v>
      </c>
      <c r="F365" s="1">
        <v>20</v>
      </c>
      <c r="G365" s="1">
        <v>25640</v>
      </c>
      <c r="H365" s="1">
        <v>23588.799999999999</v>
      </c>
      <c r="I365" s="1">
        <v>10768.8</v>
      </c>
      <c r="J365" t="s">
        <v>25</v>
      </c>
      <c r="K365">
        <v>2019</v>
      </c>
    </row>
    <row r="366" spans="1:11" x14ac:dyDescent="0.3">
      <c r="A366" t="s">
        <v>6</v>
      </c>
      <c r="B366" t="s">
        <v>40</v>
      </c>
      <c r="C366" t="s">
        <v>5</v>
      </c>
      <c r="D366" t="s">
        <v>26</v>
      </c>
      <c r="E366" s="1">
        <v>257</v>
      </c>
      <c r="F366" s="1">
        <v>7</v>
      </c>
      <c r="G366" s="1">
        <v>1799</v>
      </c>
      <c r="H366" s="1">
        <v>1655.08</v>
      </c>
      <c r="I366" s="1">
        <v>370.07999999999993</v>
      </c>
      <c r="J366" t="s">
        <v>0</v>
      </c>
      <c r="K366">
        <v>2019</v>
      </c>
    </row>
    <row r="367" spans="1:11" x14ac:dyDescent="0.3">
      <c r="A367" t="s">
        <v>6</v>
      </c>
      <c r="B367" t="s">
        <v>42</v>
      </c>
      <c r="C367" t="s">
        <v>11</v>
      </c>
      <c r="D367" t="s">
        <v>26</v>
      </c>
      <c r="E367" s="1">
        <v>1282</v>
      </c>
      <c r="F367" s="1">
        <v>20</v>
      </c>
      <c r="G367" s="1">
        <v>25640</v>
      </c>
      <c r="H367" s="1">
        <v>23588.799999999999</v>
      </c>
      <c r="I367" s="1">
        <v>10768.8</v>
      </c>
      <c r="J367" t="s">
        <v>25</v>
      </c>
      <c r="K367">
        <v>2019</v>
      </c>
    </row>
    <row r="368" spans="1:11" x14ac:dyDescent="0.3">
      <c r="A368" t="s">
        <v>17</v>
      </c>
      <c r="B368" t="s">
        <v>9</v>
      </c>
      <c r="C368" t="s">
        <v>23</v>
      </c>
      <c r="D368" t="s">
        <v>26</v>
      </c>
      <c r="E368" s="1">
        <v>1540</v>
      </c>
      <c r="F368" s="1">
        <v>125</v>
      </c>
      <c r="G368" s="1">
        <v>192500</v>
      </c>
      <c r="H368" s="1">
        <v>177100</v>
      </c>
      <c r="I368" s="1">
        <v>-7700</v>
      </c>
      <c r="J368" t="s">
        <v>22</v>
      </c>
      <c r="K368">
        <v>2019</v>
      </c>
    </row>
    <row r="369" spans="1:11" x14ac:dyDescent="0.3">
      <c r="A369" t="s">
        <v>18</v>
      </c>
      <c r="B369" t="s">
        <v>14</v>
      </c>
      <c r="C369" t="s">
        <v>23</v>
      </c>
      <c r="D369" t="s">
        <v>26</v>
      </c>
      <c r="E369" s="1">
        <v>490</v>
      </c>
      <c r="F369" s="1">
        <v>15</v>
      </c>
      <c r="G369" s="1">
        <v>7350</v>
      </c>
      <c r="H369" s="1">
        <v>6762</v>
      </c>
      <c r="I369" s="1">
        <v>1862</v>
      </c>
      <c r="J369" t="s">
        <v>16</v>
      </c>
      <c r="K369">
        <v>2019</v>
      </c>
    </row>
    <row r="370" spans="1:11" x14ac:dyDescent="0.3">
      <c r="A370" t="s">
        <v>6</v>
      </c>
      <c r="B370" t="s">
        <v>9</v>
      </c>
      <c r="C370" t="s">
        <v>23</v>
      </c>
      <c r="D370" t="s">
        <v>26</v>
      </c>
      <c r="E370" s="1">
        <v>1362</v>
      </c>
      <c r="F370" s="1">
        <v>350</v>
      </c>
      <c r="G370" s="1">
        <v>476700</v>
      </c>
      <c r="H370" s="1">
        <v>438564</v>
      </c>
      <c r="I370" s="1">
        <v>84444</v>
      </c>
      <c r="J370" t="s">
        <v>15</v>
      </c>
      <c r="K370">
        <v>2019</v>
      </c>
    </row>
    <row r="371" spans="1:11" x14ac:dyDescent="0.3">
      <c r="A371" t="s">
        <v>18</v>
      </c>
      <c r="B371" t="s">
        <v>14</v>
      </c>
      <c r="C371" t="s">
        <v>8</v>
      </c>
      <c r="D371" t="s">
        <v>26</v>
      </c>
      <c r="E371" s="1">
        <v>2501</v>
      </c>
      <c r="F371" s="1">
        <v>15</v>
      </c>
      <c r="G371" s="1">
        <v>37515</v>
      </c>
      <c r="H371" s="1">
        <v>34513.800000000003</v>
      </c>
      <c r="I371" s="1">
        <v>9503.8000000000029</v>
      </c>
      <c r="J371" t="s">
        <v>13</v>
      </c>
      <c r="K371">
        <v>2019</v>
      </c>
    </row>
    <row r="372" spans="1:11" x14ac:dyDescent="0.3">
      <c r="A372" t="s">
        <v>6</v>
      </c>
      <c r="B372" t="s">
        <v>40</v>
      </c>
      <c r="C372" t="s">
        <v>8</v>
      </c>
      <c r="D372" t="s">
        <v>26</v>
      </c>
      <c r="E372" s="1">
        <v>708</v>
      </c>
      <c r="F372" s="1">
        <v>20</v>
      </c>
      <c r="G372" s="1">
        <v>14160</v>
      </c>
      <c r="H372" s="1">
        <v>13027.2</v>
      </c>
      <c r="I372" s="1">
        <v>5947.2000000000007</v>
      </c>
      <c r="J372" t="s">
        <v>25</v>
      </c>
      <c r="K372">
        <v>2019</v>
      </c>
    </row>
    <row r="373" spans="1:11" x14ac:dyDescent="0.3">
      <c r="A373" t="s">
        <v>6</v>
      </c>
      <c r="B373" t="s">
        <v>41</v>
      </c>
      <c r="C373" t="s">
        <v>8</v>
      </c>
      <c r="D373" t="s">
        <v>26</v>
      </c>
      <c r="E373" s="1">
        <v>645</v>
      </c>
      <c r="F373" s="1">
        <v>20</v>
      </c>
      <c r="G373" s="1">
        <v>12900</v>
      </c>
      <c r="H373" s="1">
        <v>11868</v>
      </c>
      <c r="I373" s="1">
        <v>5418</v>
      </c>
      <c r="J373" t="s">
        <v>19</v>
      </c>
      <c r="K373">
        <v>2019</v>
      </c>
    </row>
    <row r="374" spans="1:11" x14ac:dyDescent="0.3">
      <c r="A374" t="s">
        <v>12</v>
      </c>
      <c r="B374" t="s">
        <v>14</v>
      </c>
      <c r="C374" t="s">
        <v>8</v>
      </c>
      <c r="D374" t="s">
        <v>26</v>
      </c>
      <c r="E374" s="1">
        <v>1562</v>
      </c>
      <c r="F374" s="1">
        <v>300</v>
      </c>
      <c r="G374" s="1">
        <v>468600</v>
      </c>
      <c r="H374" s="1">
        <v>431112</v>
      </c>
      <c r="I374" s="1">
        <v>40612</v>
      </c>
      <c r="J374" t="s">
        <v>22</v>
      </c>
      <c r="K374">
        <v>2019</v>
      </c>
    </row>
    <row r="375" spans="1:11" x14ac:dyDescent="0.3">
      <c r="A375" t="s">
        <v>12</v>
      </c>
      <c r="B375" t="s">
        <v>40</v>
      </c>
      <c r="C375" t="s">
        <v>8</v>
      </c>
      <c r="D375" t="s">
        <v>26</v>
      </c>
      <c r="E375" s="1">
        <v>1283</v>
      </c>
      <c r="F375" s="1">
        <v>300</v>
      </c>
      <c r="G375" s="1">
        <v>384900</v>
      </c>
      <c r="H375" s="1">
        <v>354108</v>
      </c>
      <c r="I375" s="1">
        <v>33358</v>
      </c>
      <c r="J375" t="s">
        <v>21</v>
      </c>
      <c r="K375">
        <v>2018</v>
      </c>
    </row>
    <row r="376" spans="1:11" x14ac:dyDescent="0.3">
      <c r="A376" t="s">
        <v>18</v>
      </c>
      <c r="B376" t="s">
        <v>41</v>
      </c>
      <c r="C376" t="s">
        <v>8</v>
      </c>
      <c r="D376" t="s">
        <v>26</v>
      </c>
      <c r="E376" s="1">
        <v>711</v>
      </c>
      <c r="F376" s="1">
        <v>15</v>
      </c>
      <c r="G376" s="1">
        <v>10665</v>
      </c>
      <c r="H376" s="1">
        <v>9811.7999999999993</v>
      </c>
      <c r="I376" s="1">
        <v>2701.7999999999993</v>
      </c>
      <c r="J376" t="s">
        <v>15</v>
      </c>
      <c r="K376">
        <v>2019</v>
      </c>
    </row>
    <row r="377" spans="1:11" x14ac:dyDescent="0.3">
      <c r="A377" t="s">
        <v>17</v>
      </c>
      <c r="B377" t="s">
        <v>9</v>
      </c>
      <c r="C377" t="s">
        <v>5</v>
      </c>
      <c r="D377" t="s">
        <v>26</v>
      </c>
      <c r="E377" s="1">
        <v>1114</v>
      </c>
      <c r="F377" s="1">
        <v>125</v>
      </c>
      <c r="G377" s="1">
        <v>139250</v>
      </c>
      <c r="H377" s="1">
        <v>128110</v>
      </c>
      <c r="I377" s="1">
        <v>-5570</v>
      </c>
      <c r="J377" t="s">
        <v>13</v>
      </c>
      <c r="K377">
        <v>2019</v>
      </c>
    </row>
    <row r="378" spans="1:11" x14ac:dyDescent="0.3">
      <c r="A378" t="s">
        <v>6</v>
      </c>
      <c r="B378" t="s">
        <v>41</v>
      </c>
      <c r="C378" t="s">
        <v>5</v>
      </c>
      <c r="D378" t="s">
        <v>26</v>
      </c>
      <c r="E378" s="1">
        <v>1259</v>
      </c>
      <c r="F378" s="1">
        <v>7</v>
      </c>
      <c r="G378" s="1">
        <v>8813</v>
      </c>
      <c r="H378" s="1">
        <v>8107.96</v>
      </c>
      <c r="I378" s="1">
        <v>1812.96</v>
      </c>
      <c r="J378" t="s">
        <v>4</v>
      </c>
      <c r="K378">
        <v>2019</v>
      </c>
    </row>
    <row r="379" spans="1:11" x14ac:dyDescent="0.3">
      <c r="A379" t="s">
        <v>6</v>
      </c>
      <c r="B379" t="s">
        <v>41</v>
      </c>
      <c r="C379" t="s">
        <v>5</v>
      </c>
      <c r="D379" t="s">
        <v>26</v>
      </c>
      <c r="E379" s="1">
        <v>1095</v>
      </c>
      <c r="F379" s="1">
        <v>7</v>
      </c>
      <c r="G379" s="1">
        <v>7665</v>
      </c>
      <c r="H379" s="1">
        <v>7051.8</v>
      </c>
      <c r="I379" s="1">
        <v>1576.8000000000002</v>
      </c>
      <c r="J379" t="s">
        <v>0</v>
      </c>
      <c r="K379">
        <v>2019</v>
      </c>
    </row>
    <row r="380" spans="1:11" x14ac:dyDescent="0.3">
      <c r="A380" t="s">
        <v>6</v>
      </c>
      <c r="B380" t="s">
        <v>41</v>
      </c>
      <c r="C380" t="s">
        <v>5</v>
      </c>
      <c r="D380" t="s">
        <v>26</v>
      </c>
      <c r="E380" s="1">
        <v>1366</v>
      </c>
      <c r="F380" s="1">
        <v>20</v>
      </c>
      <c r="G380" s="1">
        <v>27320</v>
      </c>
      <c r="H380" s="1">
        <v>25134.400000000001</v>
      </c>
      <c r="I380" s="1">
        <v>11474.400000000001</v>
      </c>
      <c r="J380" t="s">
        <v>25</v>
      </c>
      <c r="K380">
        <v>2019</v>
      </c>
    </row>
    <row r="381" spans="1:11" x14ac:dyDescent="0.3">
      <c r="A381" t="s">
        <v>12</v>
      </c>
      <c r="B381" t="s">
        <v>9</v>
      </c>
      <c r="C381" t="s">
        <v>5</v>
      </c>
      <c r="D381" t="s">
        <v>26</v>
      </c>
      <c r="E381" s="1">
        <v>2460</v>
      </c>
      <c r="F381" s="1">
        <v>300</v>
      </c>
      <c r="G381" s="1">
        <v>738000</v>
      </c>
      <c r="H381" s="1">
        <v>678960</v>
      </c>
      <c r="I381" s="1">
        <v>63960</v>
      </c>
      <c r="J381" t="s">
        <v>25</v>
      </c>
      <c r="K381">
        <v>2019</v>
      </c>
    </row>
    <row r="382" spans="1:11" x14ac:dyDescent="0.3">
      <c r="A382" t="s">
        <v>6</v>
      </c>
      <c r="B382" t="s">
        <v>42</v>
      </c>
      <c r="C382" t="s">
        <v>5</v>
      </c>
      <c r="D382" t="s">
        <v>26</v>
      </c>
      <c r="E382" s="1">
        <v>678</v>
      </c>
      <c r="F382" s="1">
        <v>7</v>
      </c>
      <c r="G382" s="1">
        <v>4746</v>
      </c>
      <c r="H382" s="1">
        <v>4366.32</v>
      </c>
      <c r="I382" s="1">
        <v>976.31999999999971</v>
      </c>
      <c r="J382" t="s">
        <v>22</v>
      </c>
      <c r="K382">
        <v>2019</v>
      </c>
    </row>
    <row r="383" spans="1:11" x14ac:dyDescent="0.3">
      <c r="A383" t="s">
        <v>6</v>
      </c>
      <c r="B383" t="s">
        <v>41</v>
      </c>
      <c r="C383" t="s">
        <v>5</v>
      </c>
      <c r="D383" t="s">
        <v>26</v>
      </c>
      <c r="E383" s="1">
        <v>1598</v>
      </c>
      <c r="F383" s="1">
        <v>7</v>
      </c>
      <c r="G383" s="1">
        <v>11186</v>
      </c>
      <c r="H383" s="1">
        <v>10291.120000000001</v>
      </c>
      <c r="I383" s="1">
        <v>2301.1200000000008</v>
      </c>
      <c r="J383" t="s">
        <v>22</v>
      </c>
      <c r="K383">
        <v>2019</v>
      </c>
    </row>
    <row r="384" spans="1:11" x14ac:dyDescent="0.3">
      <c r="A384" t="s">
        <v>6</v>
      </c>
      <c r="B384" t="s">
        <v>41</v>
      </c>
      <c r="C384" t="s">
        <v>5</v>
      </c>
      <c r="D384" t="s">
        <v>26</v>
      </c>
      <c r="E384" s="1">
        <v>2409</v>
      </c>
      <c r="F384" s="1">
        <v>7</v>
      </c>
      <c r="G384" s="1">
        <v>16863</v>
      </c>
      <c r="H384" s="1">
        <v>15513.96</v>
      </c>
      <c r="I384" s="1">
        <v>3468.9599999999991</v>
      </c>
      <c r="J384" t="s">
        <v>21</v>
      </c>
      <c r="K384">
        <v>2018</v>
      </c>
    </row>
    <row r="385" spans="1:11" x14ac:dyDescent="0.3">
      <c r="A385" t="s">
        <v>6</v>
      </c>
      <c r="B385" t="s">
        <v>41</v>
      </c>
      <c r="C385" t="s">
        <v>5</v>
      </c>
      <c r="D385" t="s">
        <v>26</v>
      </c>
      <c r="E385" s="1">
        <v>1934</v>
      </c>
      <c r="F385" s="1">
        <v>20</v>
      </c>
      <c r="G385" s="1">
        <v>38680</v>
      </c>
      <c r="H385" s="1">
        <v>35585.599999999999</v>
      </c>
      <c r="I385" s="1">
        <v>16245.599999999999</v>
      </c>
      <c r="J385" t="s">
        <v>21</v>
      </c>
      <c r="K385">
        <v>2019</v>
      </c>
    </row>
    <row r="386" spans="1:11" x14ac:dyDescent="0.3">
      <c r="A386" t="s">
        <v>6</v>
      </c>
      <c r="B386" t="s">
        <v>9</v>
      </c>
      <c r="C386" t="s">
        <v>5</v>
      </c>
      <c r="D386" t="s">
        <v>26</v>
      </c>
      <c r="E386" s="1">
        <v>2993</v>
      </c>
      <c r="F386" s="1">
        <v>20</v>
      </c>
      <c r="G386" s="1">
        <v>59860</v>
      </c>
      <c r="H386" s="1">
        <v>55071.199999999997</v>
      </c>
      <c r="I386" s="1">
        <v>25141.199999999997</v>
      </c>
      <c r="J386" t="s">
        <v>21</v>
      </c>
      <c r="K386">
        <v>2019</v>
      </c>
    </row>
    <row r="387" spans="1:11" x14ac:dyDescent="0.3">
      <c r="A387" t="s">
        <v>6</v>
      </c>
      <c r="B387" t="s">
        <v>41</v>
      </c>
      <c r="C387" t="s">
        <v>5</v>
      </c>
      <c r="D387" t="s">
        <v>26</v>
      </c>
      <c r="E387" s="1">
        <v>2146</v>
      </c>
      <c r="F387" s="1">
        <v>350</v>
      </c>
      <c r="G387" s="1">
        <v>751100</v>
      </c>
      <c r="H387" s="1">
        <v>691012</v>
      </c>
      <c r="I387" s="1">
        <v>133052</v>
      </c>
      <c r="J387" t="s">
        <v>16</v>
      </c>
      <c r="K387">
        <v>2018</v>
      </c>
    </row>
    <row r="388" spans="1:11" x14ac:dyDescent="0.3">
      <c r="A388" t="s">
        <v>6</v>
      </c>
      <c r="B388" t="s">
        <v>9</v>
      </c>
      <c r="C388" t="s">
        <v>5</v>
      </c>
      <c r="D388" t="s">
        <v>26</v>
      </c>
      <c r="E388" s="1">
        <v>1946</v>
      </c>
      <c r="F388" s="1">
        <v>7</v>
      </c>
      <c r="G388" s="1">
        <v>13622</v>
      </c>
      <c r="H388" s="1">
        <v>12532.24</v>
      </c>
      <c r="I388" s="1">
        <v>2802.24</v>
      </c>
      <c r="J388" t="s">
        <v>15</v>
      </c>
      <c r="K388">
        <v>2018</v>
      </c>
    </row>
    <row r="389" spans="1:11" x14ac:dyDescent="0.3">
      <c r="A389" t="s">
        <v>6</v>
      </c>
      <c r="B389" t="s">
        <v>9</v>
      </c>
      <c r="C389" t="s">
        <v>5</v>
      </c>
      <c r="D389" t="s">
        <v>26</v>
      </c>
      <c r="E389" s="1">
        <v>1362</v>
      </c>
      <c r="F389" s="1">
        <v>350</v>
      </c>
      <c r="G389" s="1">
        <v>476700</v>
      </c>
      <c r="H389" s="1">
        <v>438564</v>
      </c>
      <c r="I389" s="1">
        <v>84444</v>
      </c>
      <c r="J389" t="s">
        <v>15</v>
      </c>
      <c r="K389">
        <v>2019</v>
      </c>
    </row>
    <row r="390" spans="1:11" x14ac:dyDescent="0.3">
      <c r="A390" t="s">
        <v>3</v>
      </c>
      <c r="B390" t="s">
        <v>40</v>
      </c>
      <c r="C390" t="s">
        <v>20</v>
      </c>
      <c r="D390" t="s">
        <v>26</v>
      </c>
      <c r="E390" s="1">
        <v>598</v>
      </c>
      <c r="F390" s="1">
        <v>12</v>
      </c>
      <c r="G390" s="1">
        <v>7176</v>
      </c>
      <c r="H390" s="1">
        <v>6601.92</v>
      </c>
      <c r="I390" s="1">
        <v>4807.92</v>
      </c>
      <c r="J390" t="s">
        <v>13</v>
      </c>
      <c r="K390">
        <v>2019</v>
      </c>
    </row>
    <row r="391" spans="1:11" x14ac:dyDescent="0.3">
      <c r="A391" t="s">
        <v>6</v>
      </c>
      <c r="B391" t="s">
        <v>42</v>
      </c>
      <c r="C391" t="s">
        <v>20</v>
      </c>
      <c r="D391" t="s">
        <v>26</v>
      </c>
      <c r="E391" s="1">
        <v>2907</v>
      </c>
      <c r="F391" s="1">
        <v>7</v>
      </c>
      <c r="G391" s="1">
        <v>20349</v>
      </c>
      <c r="H391" s="1">
        <v>18721.080000000002</v>
      </c>
      <c r="I391" s="1">
        <v>4186.0800000000017</v>
      </c>
      <c r="J391" t="s">
        <v>25</v>
      </c>
      <c r="K391">
        <v>2019</v>
      </c>
    </row>
    <row r="392" spans="1:11" x14ac:dyDescent="0.3">
      <c r="A392" t="s">
        <v>6</v>
      </c>
      <c r="B392" t="s">
        <v>41</v>
      </c>
      <c r="C392" t="s">
        <v>20</v>
      </c>
      <c r="D392" t="s">
        <v>26</v>
      </c>
      <c r="E392" s="1">
        <v>2338</v>
      </c>
      <c r="F392" s="1">
        <v>7</v>
      </c>
      <c r="G392" s="1">
        <v>16366</v>
      </c>
      <c r="H392" s="1">
        <v>15056.72</v>
      </c>
      <c r="I392" s="1">
        <v>3366.7199999999993</v>
      </c>
      <c r="J392" t="s">
        <v>25</v>
      </c>
      <c r="K392">
        <v>2019</v>
      </c>
    </row>
    <row r="393" spans="1:11" x14ac:dyDescent="0.3">
      <c r="A393" t="s">
        <v>12</v>
      </c>
      <c r="B393" t="s">
        <v>14</v>
      </c>
      <c r="C393" t="s">
        <v>20</v>
      </c>
      <c r="D393" t="s">
        <v>26</v>
      </c>
      <c r="E393" s="1">
        <v>386</v>
      </c>
      <c r="F393" s="1">
        <v>300</v>
      </c>
      <c r="G393" s="1">
        <v>115800</v>
      </c>
      <c r="H393" s="1">
        <v>106536</v>
      </c>
      <c r="I393" s="1">
        <v>10036</v>
      </c>
      <c r="J393" t="s">
        <v>16</v>
      </c>
      <c r="K393">
        <v>2018</v>
      </c>
    </row>
    <row r="394" spans="1:11" x14ac:dyDescent="0.3">
      <c r="A394" t="s">
        <v>12</v>
      </c>
      <c r="B394" t="s">
        <v>9</v>
      </c>
      <c r="C394" t="s">
        <v>20</v>
      </c>
      <c r="D394" t="s">
        <v>26</v>
      </c>
      <c r="E394" s="1">
        <v>635</v>
      </c>
      <c r="F394" s="1">
        <v>300</v>
      </c>
      <c r="G394" s="1">
        <v>190500</v>
      </c>
      <c r="H394" s="1">
        <v>175260</v>
      </c>
      <c r="I394" s="1">
        <v>16510</v>
      </c>
      <c r="J394" t="s">
        <v>15</v>
      </c>
      <c r="K394">
        <v>2019</v>
      </c>
    </row>
    <row r="395" spans="1:11" x14ac:dyDescent="0.3">
      <c r="A395" t="s">
        <v>6</v>
      </c>
      <c r="B395" t="s">
        <v>14</v>
      </c>
      <c r="C395" t="s">
        <v>2</v>
      </c>
      <c r="D395" t="s">
        <v>26</v>
      </c>
      <c r="E395" s="1">
        <v>574.5</v>
      </c>
      <c r="F395" s="1">
        <v>350</v>
      </c>
      <c r="G395" s="1">
        <v>201075</v>
      </c>
      <c r="H395" s="1">
        <v>184989</v>
      </c>
      <c r="I395" s="1">
        <v>35619</v>
      </c>
      <c r="J395" t="s">
        <v>4</v>
      </c>
      <c r="K395">
        <v>2019</v>
      </c>
    </row>
    <row r="396" spans="1:11" x14ac:dyDescent="0.3">
      <c r="A396" t="s">
        <v>6</v>
      </c>
      <c r="B396" t="s">
        <v>41</v>
      </c>
      <c r="C396" t="s">
        <v>2</v>
      </c>
      <c r="D396" t="s">
        <v>26</v>
      </c>
      <c r="E396" s="1">
        <v>2338</v>
      </c>
      <c r="F396" s="1">
        <v>7</v>
      </c>
      <c r="G396" s="1">
        <v>16366</v>
      </c>
      <c r="H396" s="1">
        <v>15056.72</v>
      </c>
      <c r="I396" s="1">
        <v>3366.7199999999993</v>
      </c>
      <c r="J396" t="s">
        <v>25</v>
      </c>
      <c r="K396">
        <v>2019</v>
      </c>
    </row>
    <row r="397" spans="1:11" x14ac:dyDescent="0.3">
      <c r="A397" t="s">
        <v>6</v>
      </c>
      <c r="B397" t="s">
        <v>14</v>
      </c>
      <c r="C397" t="s">
        <v>2</v>
      </c>
      <c r="D397" t="s">
        <v>26</v>
      </c>
      <c r="E397" s="1">
        <v>381</v>
      </c>
      <c r="F397" s="1">
        <v>350</v>
      </c>
      <c r="G397" s="1">
        <v>133350</v>
      </c>
      <c r="H397" s="1">
        <v>122682</v>
      </c>
      <c r="I397" s="1">
        <v>23622</v>
      </c>
      <c r="J397" t="s">
        <v>22</v>
      </c>
      <c r="K397">
        <v>2019</v>
      </c>
    </row>
    <row r="398" spans="1:11" x14ac:dyDescent="0.3">
      <c r="A398" t="s">
        <v>6</v>
      </c>
      <c r="B398" t="s">
        <v>41</v>
      </c>
      <c r="C398" t="s">
        <v>2</v>
      </c>
      <c r="D398" t="s">
        <v>26</v>
      </c>
      <c r="E398" s="1">
        <v>422</v>
      </c>
      <c r="F398" s="1">
        <v>350</v>
      </c>
      <c r="G398" s="1">
        <v>147700</v>
      </c>
      <c r="H398" s="1">
        <v>135884</v>
      </c>
      <c r="I398" s="1">
        <v>26164</v>
      </c>
      <c r="J398" t="s">
        <v>22</v>
      </c>
      <c r="K398">
        <v>2019</v>
      </c>
    </row>
    <row r="399" spans="1:11" x14ac:dyDescent="0.3">
      <c r="A399" t="s">
        <v>12</v>
      </c>
      <c r="B399" t="s">
        <v>40</v>
      </c>
      <c r="C399" t="s">
        <v>2</v>
      </c>
      <c r="D399" t="s">
        <v>26</v>
      </c>
      <c r="E399" s="1">
        <v>2134</v>
      </c>
      <c r="F399" s="1">
        <v>300</v>
      </c>
      <c r="G399" s="1">
        <v>640200</v>
      </c>
      <c r="H399" s="1">
        <v>588984</v>
      </c>
      <c r="I399" s="1">
        <v>55484</v>
      </c>
      <c r="J399" t="s">
        <v>21</v>
      </c>
      <c r="K399">
        <v>2019</v>
      </c>
    </row>
    <row r="400" spans="1:11" x14ac:dyDescent="0.3">
      <c r="A400" t="s">
        <v>12</v>
      </c>
      <c r="B400" t="s">
        <v>42</v>
      </c>
      <c r="C400" t="s">
        <v>2</v>
      </c>
      <c r="D400" t="s">
        <v>26</v>
      </c>
      <c r="E400" s="1">
        <v>808</v>
      </c>
      <c r="F400" s="1">
        <v>300</v>
      </c>
      <c r="G400" s="1">
        <v>242400</v>
      </c>
      <c r="H400" s="1">
        <v>223008</v>
      </c>
      <c r="I400" s="1">
        <v>21008</v>
      </c>
      <c r="J400" t="s">
        <v>15</v>
      </c>
      <c r="K400">
        <v>2018</v>
      </c>
    </row>
    <row r="401" spans="1:11" x14ac:dyDescent="0.3">
      <c r="A401" t="s">
        <v>6</v>
      </c>
      <c r="B401" t="s">
        <v>40</v>
      </c>
      <c r="C401" t="s">
        <v>11</v>
      </c>
      <c r="D401" t="s">
        <v>26</v>
      </c>
      <c r="E401" s="1">
        <v>708</v>
      </c>
      <c r="F401" s="1">
        <v>20</v>
      </c>
      <c r="G401" s="1">
        <v>14160</v>
      </c>
      <c r="H401" s="1">
        <v>13027.2</v>
      </c>
      <c r="I401" s="1">
        <v>5947.2000000000007</v>
      </c>
      <c r="J401" t="s">
        <v>25</v>
      </c>
      <c r="K401">
        <v>2019</v>
      </c>
    </row>
    <row r="402" spans="1:11" x14ac:dyDescent="0.3">
      <c r="A402" t="s">
        <v>6</v>
      </c>
      <c r="B402" t="s">
        <v>42</v>
      </c>
      <c r="C402" t="s">
        <v>11</v>
      </c>
      <c r="D402" t="s">
        <v>26</v>
      </c>
      <c r="E402" s="1">
        <v>2907</v>
      </c>
      <c r="F402" s="1">
        <v>7</v>
      </c>
      <c r="G402" s="1">
        <v>20349</v>
      </c>
      <c r="H402" s="1">
        <v>18721.080000000002</v>
      </c>
      <c r="I402" s="1">
        <v>4186.0800000000017</v>
      </c>
      <c r="J402" t="s">
        <v>25</v>
      </c>
      <c r="K402">
        <v>2019</v>
      </c>
    </row>
    <row r="403" spans="1:11" x14ac:dyDescent="0.3">
      <c r="A403" t="s">
        <v>6</v>
      </c>
      <c r="B403" t="s">
        <v>41</v>
      </c>
      <c r="C403" t="s">
        <v>11</v>
      </c>
      <c r="D403" t="s">
        <v>26</v>
      </c>
      <c r="E403" s="1">
        <v>1366</v>
      </c>
      <c r="F403" s="1">
        <v>20</v>
      </c>
      <c r="G403" s="1">
        <v>27320</v>
      </c>
      <c r="H403" s="1">
        <v>25134.400000000001</v>
      </c>
      <c r="I403" s="1">
        <v>11474.400000000001</v>
      </c>
      <c r="J403" t="s">
        <v>25</v>
      </c>
      <c r="K403">
        <v>2019</v>
      </c>
    </row>
    <row r="404" spans="1:11" x14ac:dyDescent="0.3">
      <c r="A404" t="s">
        <v>12</v>
      </c>
      <c r="B404" t="s">
        <v>9</v>
      </c>
      <c r="C404" t="s">
        <v>11</v>
      </c>
      <c r="D404" t="s">
        <v>26</v>
      </c>
      <c r="E404" s="1">
        <v>2460</v>
      </c>
      <c r="F404" s="1">
        <v>300</v>
      </c>
      <c r="G404" s="1">
        <v>738000</v>
      </c>
      <c r="H404" s="1">
        <v>678960</v>
      </c>
      <c r="I404" s="1">
        <v>63960</v>
      </c>
      <c r="J404" t="s">
        <v>25</v>
      </c>
      <c r="K404">
        <v>2019</v>
      </c>
    </row>
    <row r="405" spans="1:11" x14ac:dyDescent="0.3">
      <c r="A405" t="s">
        <v>6</v>
      </c>
      <c r="B405" t="s">
        <v>41</v>
      </c>
      <c r="C405" t="s">
        <v>11</v>
      </c>
      <c r="D405" t="s">
        <v>26</v>
      </c>
      <c r="E405" s="1">
        <v>1520</v>
      </c>
      <c r="F405" s="1">
        <v>20</v>
      </c>
      <c r="G405" s="1">
        <v>30400</v>
      </c>
      <c r="H405" s="1">
        <v>27968</v>
      </c>
      <c r="I405" s="1">
        <v>12768</v>
      </c>
      <c r="J405" t="s">
        <v>16</v>
      </c>
      <c r="K405">
        <v>2019</v>
      </c>
    </row>
    <row r="406" spans="1:11" x14ac:dyDescent="0.3">
      <c r="A406" t="s">
        <v>18</v>
      </c>
      <c r="B406" t="s">
        <v>41</v>
      </c>
      <c r="C406" t="s">
        <v>11</v>
      </c>
      <c r="D406" t="s">
        <v>26</v>
      </c>
      <c r="E406" s="1">
        <v>711</v>
      </c>
      <c r="F406" s="1">
        <v>15</v>
      </c>
      <c r="G406" s="1">
        <v>10665</v>
      </c>
      <c r="H406" s="1">
        <v>9811.7999999999993</v>
      </c>
      <c r="I406" s="1">
        <v>2701.7999999999993</v>
      </c>
      <c r="J406" t="s">
        <v>15</v>
      </c>
      <c r="K406">
        <v>2019</v>
      </c>
    </row>
    <row r="407" spans="1:11" x14ac:dyDescent="0.3">
      <c r="A407" t="s">
        <v>3</v>
      </c>
      <c r="B407" t="s">
        <v>9</v>
      </c>
      <c r="C407" t="s">
        <v>11</v>
      </c>
      <c r="D407" t="s">
        <v>26</v>
      </c>
      <c r="E407" s="1">
        <v>1375</v>
      </c>
      <c r="F407" s="1">
        <v>12</v>
      </c>
      <c r="G407" s="1">
        <v>16500</v>
      </c>
      <c r="H407" s="1">
        <v>15180</v>
      </c>
      <c r="I407" s="1">
        <v>11055</v>
      </c>
      <c r="J407" t="s">
        <v>15</v>
      </c>
      <c r="K407">
        <v>2018</v>
      </c>
    </row>
    <row r="408" spans="1:11" x14ac:dyDescent="0.3">
      <c r="A408" t="s">
        <v>12</v>
      </c>
      <c r="B408" t="s">
        <v>9</v>
      </c>
      <c r="C408" t="s">
        <v>11</v>
      </c>
      <c r="D408" t="s">
        <v>26</v>
      </c>
      <c r="E408" s="1">
        <v>635</v>
      </c>
      <c r="F408" s="1">
        <v>300</v>
      </c>
      <c r="G408" s="1">
        <v>190500</v>
      </c>
      <c r="H408" s="1">
        <v>175260</v>
      </c>
      <c r="I408" s="1">
        <v>16510</v>
      </c>
      <c r="J408" t="s">
        <v>15</v>
      </c>
      <c r="K408">
        <v>2019</v>
      </c>
    </row>
    <row r="409" spans="1:11" x14ac:dyDescent="0.3">
      <c r="A409" t="s">
        <v>6</v>
      </c>
      <c r="B409" t="s">
        <v>42</v>
      </c>
      <c r="C409" t="s">
        <v>2</v>
      </c>
      <c r="D409" t="s">
        <v>26</v>
      </c>
      <c r="E409" s="1">
        <v>436.5</v>
      </c>
      <c r="F409" s="1">
        <v>20</v>
      </c>
      <c r="G409" s="1">
        <v>8730</v>
      </c>
      <c r="H409" s="1">
        <v>8031.5999999999995</v>
      </c>
      <c r="I409" s="1">
        <v>3666.5999999999995</v>
      </c>
      <c r="J409" t="s">
        <v>19</v>
      </c>
      <c r="K409">
        <v>2019</v>
      </c>
    </row>
    <row r="410" spans="1:11" x14ac:dyDescent="0.3">
      <c r="A410" t="s">
        <v>12</v>
      </c>
      <c r="B410" t="s">
        <v>40</v>
      </c>
      <c r="C410" t="s">
        <v>23</v>
      </c>
      <c r="D410" t="s">
        <v>26</v>
      </c>
      <c r="E410" s="1">
        <v>1094</v>
      </c>
      <c r="F410" s="1">
        <v>300</v>
      </c>
      <c r="G410" s="1">
        <v>328200</v>
      </c>
      <c r="H410" s="1">
        <v>298662</v>
      </c>
      <c r="I410" s="1">
        <v>25162</v>
      </c>
      <c r="J410" t="s">
        <v>25</v>
      </c>
      <c r="K410">
        <v>2019</v>
      </c>
    </row>
    <row r="411" spans="1:11" x14ac:dyDescent="0.3">
      <c r="A411" t="s">
        <v>3</v>
      </c>
      <c r="B411" t="s">
        <v>9</v>
      </c>
      <c r="C411" t="s">
        <v>23</v>
      </c>
      <c r="D411" t="s">
        <v>26</v>
      </c>
      <c r="E411" s="1">
        <v>367</v>
      </c>
      <c r="F411" s="1">
        <v>12</v>
      </c>
      <c r="G411" s="1">
        <v>4404</v>
      </c>
      <c r="H411" s="1">
        <v>4007.64</v>
      </c>
      <c r="I411" s="1">
        <v>2906.64</v>
      </c>
      <c r="J411" t="s">
        <v>10</v>
      </c>
      <c r="K411">
        <v>2018</v>
      </c>
    </row>
    <row r="412" spans="1:11" x14ac:dyDescent="0.3">
      <c r="A412" t="s">
        <v>12</v>
      </c>
      <c r="B412" t="s">
        <v>40</v>
      </c>
      <c r="C412" t="s">
        <v>8</v>
      </c>
      <c r="D412" t="s">
        <v>26</v>
      </c>
      <c r="E412" s="1">
        <v>3802.5</v>
      </c>
      <c r="F412" s="1">
        <v>300</v>
      </c>
      <c r="G412" s="1">
        <v>1140750</v>
      </c>
      <c r="H412" s="1">
        <v>1038082.5</v>
      </c>
      <c r="I412" s="1">
        <v>87457.5</v>
      </c>
      <c r="J412" t="s">
        <v>4</v>
      </c>
      <c r="K412">
        <v>2019</v>
      </c>
    </row>
    <row r="413" spans="1:11" x14ac:dyDescent="0.3">
      <c r="A413" t="s">
        <v>6</v>
      </c>
      <c r="B413" t="s">
        <v>14</v>
      </c>
      <c r="C413" t="s">
        <v>8</v>
      </c>
      <c r="D413" t="s">
        <v>26</v>
      </c>
      <c r="E413" s="1">
        <v>1666</v>
      </c>
      <c r="F413" s="1">
        <v>350</v>
      </c>
      <c r="G413" s="1">
        <v>583100</v>
      </c>
      <c r="H413" s="1">
        <v>530621</v>
      </c>
      <c r="I413" s="1">
        <v>97461</v>
      </c>
      <c r="J413" t="s">
        <v>0</v>
      </c>
      <c r="K413">
        <v>2019</v>
      </c>
    </row>
    <row r="414" spans="1:11" x14ac:dyDescent="0.3">
      <c r="A414" t="s">
        <v>12</v>
      </c>
      <c r="B414" t="s">
        <v>14</v>
      </c>
      <c r="C414" t="s">
        <v>8</v>
      </c>
      <c r="D414" t="s">
        <v>26</v>
      </c>
      <c r="E414" s="1">
        <v>322</v>
      </c>
      <c r="F414" s="1">
        <v>300</v>
      </c>
      <c r="G414" s="1">
        <v>96600</v>
      </c>
      <c r="H414" s="1">
        <v>87906</v>
      </c>
      <c r="I414" s="1">
        <v>7406</v>
      </c>
      <c r="J414" t="s">
        <v>21</v>
      </c>
      <c r="K414">
        <v>2018</v>
      </c>
    </row>
    <row r="415" spans="1:11" x14ac:dyDescent="0.3">
      <c r="A415" t="s">
        <v>3</v>
      </c>
      <c r="B415" t="s">
        <v>40</v>
      </c>
      <c r="C415" t="s">
        <v>8</v>
      </c>
      <c r="D415" t="s">
        <v>26</v>
      </c>
      <c r="E415" s="1">
        <v>2321</v>
      </c>
      <c r="F415" s="1">
        <v>12</v>
      </c>
      <c r="G415" s="1">
        <v>27852</v>
      </c>
      <c r="H415" s="1">
        <v>25345.32</v>
      </c>
      <c r="I415" s="1">
        <v>18382.32</v>
      </c>
      <c r="J415" t="s">
        <v>16</v>
      </c>
      <c r="K415">
        <v>2019</v>
      </c>
    </row>
    <row r="416" spans="1:11" x14ac:dyDescent="0.3">
      <c r="A416" t="s">
        <v>17</v>
      </c>
      <c r="B416" t="s">
        <v>14</v>
      </c>
      <c r="C416" t="s">
        <v>8</v>
      </c>
      <c r="D416" t="s">
        <v>26</v>
      </c>
      <c r="E416" s="1">
        <v>1857</v>
      </c>
      <c r="F416" s="1">
        <v>125</v>
      </c>
      <c r="G416" s="1">
        <v>232125</v>
      </c>
      <c r="H416" s="1">
        <v>211233.75</v>
      </c>
      <c r="I416" s="1">
        <v>-11606.25</v>
      </c>
      <c r="J416" t="s">
        <v>16</v>
      </c>
      <c r="K416">
        <v>2018</v>
      </c>
    </row>
    <row r="417" spans="1:11" x14ac:dyDescent="0.3">
      <c r="A417" t="s">
        <v>6</v>
      </c>
      <c r="B417" t="s">
        <v>40</v>
      </c>
      <c r="C417" t="s">
        <v>8</v>
      </c>
      <c r="D417" t="s">
        <v>26</v>
      </c>
      <c r="E417" s="1">
        <v>1611</v>
      </c>
      <c r="F417" s="1">
        <v>7</v>
      </c>
      <c r="G417" s="1">
        <v>11277</v>
      </c>
      <c r="H417" s="1">
        <v>10262.07</v>
      </c>
      <c r="I417" s="1">
        <v>2207.0699999999997</v>
      </c>
      <c r="J417" t="s">
        <v>15</v>
      </c>
      <c r="K417">
        <v>2018</v>
      </c>
    </row>
    <row r="418" spans="1:11" x14ac:dyDescent="0.3">
      <c r="A418" t="s">
        <v>17</v>
      </c>
      <c r="B418" t="s">
        <v>42</v>
      </c>
      <c r="C418" t="s">
        <v>8</v>
      </c>
      <c r="D418" t="s">
        <v>26</v>
      </c>
      <c r="E418" s="1">
        <v>2797</v>
      </c>
      <c r="F418" s="1">
        <v>125</v>
      </c>
      <c r="G418" s="1">
        <v>349625</v>
      </c>
      <c r="H418" s="1">
        <v>318158.75</v>
      </c>
      <c r="I418" s="1">
        <v>-17481.25</v>
      </c>
      <c r="J418" t="s">
        <v>15</v>
      </c>
      <c r="K418">
        <v>2019</v>
      </c>
    </row>
    <row r="419" spans="1:11" x14ac:dyDescent="0.3">
      <c r="A419" t="s">
        <v>12</v>
      </c>
      <c r="B419" t="s">
        <v>41</v>
      </c>
      <c r="C419" t="s">
        <v>8</v>
      </c>
      <c r="D419" t="s">
        <v>26</v>
      </c>
      <c r="E419" s="1">
        <v>334</v>
      </c>
      <c r="F419" s="1">
        <v>300</v>
      </c>
      <c r="G419" s="1">
        <v>100200</v>
      </c>
      <c r="H419" s="1">
        <v>91182</v>
      </c>
      <c r="I419" s="1">
        <v>7682</v>
      </c>
      <c r="J419" t="s">
        <v>15</v>
      </c>
      <c r="K419">
        <v>2018</v>
      </c>
    </row>
    <row r="420" spans="1:11" x14ac:dyDescent="0.3">
      <c r="A420" t="s">
        <v>12</v>
      </c>
      <c r="B420" t="s">
        <v>9</v>
      </c>
      <c r="C420" t="s">
        <v>5</v>
      </c>
      <c r="D420" t="s">
        <v>26</v>
      </c>
      <c r="E420" s="1">
        <v>2565</v>
      </c>
      <c r="F420" s="1">
        <v>300</v>
      </c>
      <c r="G420" s="1">
        <v>769500</v>
      </c>
      <c r="H420" s="1">
        <v>700245</v>
      </c>
      <c r="I420" s="1">
        <v>58995</v>
      </c>
      <c r="J420" t="s">
        <v>24</v>
      </c>
      <c r="K420">
        <v>2019</v>
      </c>
    </row>
    <row r="421" spans="1:11" x14ac:dyDescent="0.3">
      <c r="A421" t="s">
        <v>6</v>
      </c>
      <c r="B421" t="s">
        <v>9</v>
      </c>
      <c r="C421" t="s">
        <v>5</v>
      </c>
      <c r="D421" t="s">
        <v>26</v>
      </c>
      <c r="E421" s="1">
        <v>2417</v>
      </c>
      <c r="F421" s="1">
        <v>350</v>
      </c>
      <c r="G421" s="1">
        <v>845950</v>
      </c>
      <c r="H421" s="1">
        <v>769814.5</v>
      </c>
      <c r="I421" s="1">
        <v>141394.5</v>
      </c>
      <c r="J421" t="s">
        <v>24</v>
      </c>
      <c r="K421">
        <v>2019</v>
      </c>
    </row>
    <row r="422" spans="1:11" x14ac:dyDescent="0.3">
      <c r="A422" t="s">
        <v>18</v>
      </c>
      <c r="B422" t="s">
        <v>42</v>
      </c>
      <c r="C422" t="s">
        <v>5</v>
      </c>
      <c r="D422" t="s">
        <v>26</v>
      </c>
      <c r="E422" s="1">
        <v>3675</v>
      </c>
      <c r="F422" s="1">
        <v>15</v>
      </c>
      <c r="G422" s="1">
        <v>55125</v>
      </c>
      <c r="H422" s="1">
        <v>50163.75</v>
      </c>
      <c r="I422" s="1">
        <v>13413.75</v>
      </c>
      <c r="J422" t="s">
        <v>4</v>
      </c>
      <c r="K422">
        <v>2019</v>
      </c>
    </row>
    <row r="423" spans="1:11" x14ac:dyDescent="0.3">
      <c r="A423" t="s">
        <v>12</v>
      </c>
      <c r="B423" t="s">
        <v>40</v>
      </c>
      <c r="C423" t="s">
        <v>5</v>
      </c>
      <c r="D423" t="s">
        <v>26</v>
      </c>
      <c r="E423" s="1">
        <v>1094</v>
      </c>
      <c r="F423" s="1">
        <v>300</v>
      </c>
      <c r="G423" s="1">
        <v>328200</v>
      </c>
      <c r="H423" s="1">
        <v>298662</v>
      </c>
      <c r="I423" s="1">
        <v>25162</v>
      </c>
      <c r="J423" t="s">
        <v>25</v>
      </c>
      <c r="K423">
        <v>2019</v>
      </c>
    </row>
    <row r="424" spans="1:11" x14ac:dyDescent="0.3">
      <c r="A424" t="s">
        <v>18</v>
      </c>
      <c r="B424" t="s">
        <v>14</v>
      </c>
      <c r="C424" t="s">
        <v>5</v>
      </c>
      <c r="D424" t="s">
        <v>26</v>
      </c>
      <c r="E424" s="1">
        <v>1227</v>
      </c>
      <c r="F424" s="1">
        <v>15</v>
      </c>
      <c r="G424" s="1">
        <v>18405</v>
      </c>
      <c r="H424" s="1">
        <v>16748.55</v>
      </c>
      <c r="I424" s="1">
        <v>4478.5499999999993</v>
      </c>
      <c r="J424" t="s">
        <v>10</v>
      </c>
      <c r="K424">
        <v>2019</v>
      </c>
    </row>
    <row r="425" spans="1:11" x14ac:dyDescent="0.3">
      <c r="A425" t="s">
        <v>3</v>
      </c>
      <c r="B425" t="s">
        <v>9</v>
      </c>
      <c r="C425" t="s">
        <v>5</v>
      </c>
      <c r="D425" t="s">
        <v>26</v>
      </c>
      <c r="E425" s="1">
        <v>367</v>
      </c>
      <c r="F425" s="1">
        <v>12</v>
      </c>
      <c r="G425" s="1">
        <v>4404</v>
      </c>
      <c r="H425" s="1">
        <v>4007.64</v>
      </c>
      <c r="I425" s="1">
        <v>2906.64</v>
      </c>
      <c r="J425" t="s">
        <v>10</v>
      </c>
      <c r="K425">
        <v>2018</v>
      </c>
    </row>
    <row r="426" spans="1:11" x14ac:dyDescent="0.3">
      <c r="A426" t="s">
        <v>12</v>
      </c>
      <c r="B426" t="s">
        <v>14</v>
      </c>
      <c r="C426" t="s">
        <v>5</v>
      </c>
      <c r="D426" t="s">
        <v>26</v>
      </c>
      <c r="E426" s="1">
        <v>1324</v>
      </c>
      <c r="F426" s="1">
        <v>300</v>
      </c>
      <c r="G426" s="1">
        <v>397200</v>
      </c>
      <c r="H426" s="1">
        <v>361452</v>
      </c>
      <c r="I426" s="1">
        <v>30452</v>
      </c>
      <c r="J426" t="s">
        <v>16</v>
      </c>
      <c r="K426">
        <v>2019</v>
      </c>
    </row>
    <row r="427" spans="1:11" x14ac:dyDescent="0.3">
      <c r="A427" t="s">
        <v>3</v>
      </c>
      <c r="B427" t="s">
        <v>41</v>
      </c>
      <c r="C427" t="s">
        <v>5</v>
      </c>
      <c r="D427" t="s">
        <v>26</v>
      </c>
      <c r="E427" s="1">
        <v>1775</v>
      </c>
      <c r="F427" s="1">
        <v>12</v>
      </c>
      <c r="G427" s="1">
        <v>21300</v>
      </c>
      <c r="H427" s="1">
        <v>19383</v>
      </c>
      <c r="I427" s="1">
        <v>14058</v>
      </c>
      <c r="J427" t="s">
        <v>16</v>
      </c>
      <c r="K427">
        <v>2018</v>
      </c>
    </row>
    <row r="428" spans="1:11" x14ac:dyDescent="0.3">
      <c r="A428" t="s">
        <v>17</v>
      </c>
      <c r="B428" t="s">
        <v>42</v>
      </c>
      <c r="C428" t="s">
        <v>5</v>
      </c>
      <c r="D428" t="s">
        <v>26</v>
      </c>
      <c r="E428" s="1">
        <v>2797</v>
      </c>
      <c r="F428" s="1">
        <v>125</v>
      </c>
      <c r="G428" s="1">
        <v>349625</v>
      </c>
      <c r="H428" s="1">
        <v>318158.75</v>
      </c>
      <c r="I428" s="1">
        <v>-17481.25</v>
      </c>
      <c r="J428" t="s">
        <v>15</v>
      </c>
      <c r="K428">
        <v>2019</v>
      </c>
    </row>
    <row r="429" spans="1:11" x14ac:dyDescent="0.3">
      <c r="A429" t="s">
        <v>18</v>
      </c>
      <c r="B429" t="s">
        <v>9</v>
      </c>
      <c r="C429" t="s">
        <v>20</v>
      </c>
      <c r="D429" t="s">
        <v>26</v>
      </c>
      <c r="E429" s="1">
        <v>245</v>
      </c>
      <c r="F429" s="1">
        <v>15</v>
      </c>
      <c r="G429" s="1">
        <v>3675</v>
      </c>
      <c r="H429" s="1">
        <v>3344.25</v>
      </c>
      <c r="I429" s="1">
        <v>894.25</v>
      </c>
      <c r="J429" t="s">
        <v>0</v>
      </c>
      <c r="K429">
        <v>2019</v>
      </c>
    </row>
    <row r="430" spans="1:11" x14ac:dyDescent="0.3">
      <c r="A430" t="s">
        <v>12</v>
      </c>
      <c r="B430" t="s">
        <v>40</v>
      </c>
      <c r="C430" t="s">
        <v>20</v>
      </c>
      <c r="D430" t="s">
        <v>26</v>
      </c>
      <c r="E430" s="1">
        <v>3793.5</v>
      </c>
      <c r="F430" s="1">
        <v>300</v>
      </c>
      <c r="G430" s="1">
        <v>1138050</v>
      </c>
      <c r="H430" s="1">
        <v>1035625.5</v>
      </c>
      <c r="I430" s="1">
        <v>87250.5</v>
      </c>
      <c r="J430" t="s">
        <v>19</v>
      </c>
      <c r="K430">
        <v>2019</v>
      </c>
    </row>
    <row r="431" spans="1:11" x14ac:dyDescent="0.3">
      <c r="A431" t="s">
        <v>6</v>
      </c>
      <c r="B431" t="s">
        <v>41</v>
      </c>
      <c r="C431" t="s">
        <v>20</v>
      </c>
      <c r="D431" t="s">
        <v>26</v>
      </c>
      <c r="E431" s="1">
        <v>1307</v>
      </c>
      <c r="F431" s="1">
        <v>350</v>
      </c>
      <c r="G431" s="1">
        <v>457450</v>
      </c>
      <c r="H431" s="1">
        <v>416279.5</v>
      </c>
      <c r="I431" s="1">
        <v>76459.5</v>
      </c>
      <c r="J431" t="s">
        <v>19</v>
      </c>
      <c r="K431">
        <v>2019</v>
      </c>
    </row>
    <row r="432" spans="1:11" x14ac:dyDescent="0.3">
      <c r="A432" t="s">
        <v>17</v>
      </c>
      <c r="B432" t="s">
        <v>40</v>
      </c>
      <c r="C432" t="s">
        <v>20</v>
      </c>
      <c r="D432" t="s">
        <v>26</v>
      </c>
      <c r="E432" s="1">
        <v>567</v>
      </c>
      <c r="F432" s="1">
        <v>125</v>
      </c>
      <c r="G432" s="1">
        <v>70875</v>
      </c>
      <c r="H432" s="1">
        <v>64496.25</v>
      </c>
      <c r="I432" s="1">
        <v>-3543.75</v>
      </c>
      <c r="J432" t="s">
        <v>21</v>
      </c>
      <c r="K432">
        <v>2019</v>
      </c>
    </row>
    <row r="433" spans="1:11" x14ac:dyDescent="0.3">
      <c r="A433" t="s">
        <v>17</v>
      </c>
      <c r="B433" t="s">
        <v>9</v>
      </c>
      <c r="C433" t="s">
        <v>20</v>
      </c>
      <c r="D433" t="s">
        <v>26</v>
      </c>
      <c r="E433" s="1">
        <v>2110</v>
      </c>
      <c r="F433" s="1">
        <v>125</v>
      </c>
      <c r="G433" s="1">
        <v>263750</v>
      </c>
      <c r="H433" s="1">
        <v>240012.5</v>
      </c>
      <c r="I433" s="1">
        <v>-13187.5</v>
      </c>
      <c r="J433" t="s">
        <v>21</v>
      </c>
      <c r="K433">
        <v>2019</v>
      </c>
    </row>
    <row r="434" spans="1:11" x14ac:dyDescent="0.3">
      <c r="A434" t="s">
        <v>6</v>
      </c>
      <c r="B434" t="s">
        <v>40</v>
      </c>
      <c r="C434" t="s">
        <v>20</v>
      </c>
      <c r="D434" t="s">
        <v>26</v>
      </c>
      <c r="E434" s="1">
        <v>1269</v>
      </c>
      <c r="F434" s="1">
        <v>350</v>
      </c>
      <c r="G434" s="1">
        <v>444150</v>
      </c>
      <c r="H434" s="1">
        <v>404176.5</v>
      </c>
      <c r="I434" s="1">
        <v>74236.5</v>
      </c>
      <c r="J434" t="s">
        <v>10</v>
      </c>
      <c r="K434">
        <v>2019</v>
      </c>
    </row>
    <row r="435" spans="1:11" x14ac:dyDescent="0.3">
      <c r="A435" t="s">
        <v>3</v>
      </c>
      <c r="B435" t="s">
        <v>42</v>
      </c>
      <c r="C435" t="s">
        <v>2</v>
      </c>
      <c r="D435" t="s">
        <v>26</v>
      </c>
      <c r="E435" s="1">
        <v>1956</v>
      </c>
      <c r="F435" s="1">
        <v>12</v>
      </c>
      <c r="G435" s="1">
        <v>23472</v>
      </c>
      <c r="H435" s="1">
        <v>21359.52</v>
      </c>
      <c r="I435" s="1">
        <v>15491.52</v>
      </c>
      <c r="J435" t="s">
        <v>24</v>
      </c>
      <c r="K435">
        <v>2019</v>
      </c>
    </row>
    <row r="436" spans="1:11" x14ac:dyDescent="0.3">
      <c r="A436" t="s">
        <v>12</v>
      </c>
      <c r="B436" t="s">
        <v>41</v>
      </c>
      <c r="C436" t="s">
        <v>2</v>
      </c>
      <c r="D436" t="s">
        <v>26</v>
      </c>
      <c r="E436" s="1">
        <v>2659</v>
      </c>
      <c r="F436" s="1">
        <v>300</v>
      </c>
      <c r="G436" s="1">
        <v>797700</v>
      </c>
      <c r="H436" s="1">
        <v>725907</v>
      </c>
      <c r="I436" s="1">
        <v>61157</v>
      </c>
      <c r="J436" t="s">
        <v>7</v>
      </c>
      <c r="K436">
        <v>2019</v>
      </c>
    </row>
    <row r="437" spans="1:11" x14ac:dyDescent="0.3">
      <c r="A437" t="s">
        <v>6</v>
      </c>
      <c r="B437" t="s">
        <v>42</v>
      </c>
      <c r="C437" t="s">
        <v>2</v>
      </c>
      <c r="D437" t="s">
        <v>26</v>
      </c>
      <c r="E437" s="1">
        <v>1351.5</v>
      </c>
      <c r="F437" s="1">
        <v>350</v>
      </c>
      <c r="G437" s="1">
        <v>473025</v>
      </c>
      <c r="H437" s="1">
        <v>430452.75</v>
      </c>
      <c r="I437" s="1">
        <v>79062.75</v>
      </c>
      <c r="J437" t="s">
        <v>4</v>
      </c>
      <c r="K437">
        <v>2019</v>
      </c>
    </row>
    <row r="438" spans="1:11" x14ac:dyDescent="0.3">
      <c r="A438" t="s">
        <v>3</v>
      </c>
      <c r="B438" t="s">
        <v>41</v>
      </c>
      <c r="C438" t="s">
        <v>2</v>
      </c>
      <c r="D438" t="s">
        <v>26</v>
      </c>
      <c r="E438" s="1">
        <v>880</v>
      </c>
      <c r="F438" s="1">
        <v>12</v>
      </c>
      <c r="G438" s="1">
        <v>10560</v>
      </c>
      <c r="H438" s="1">
        <v>9609.6</v>
      </c>
      <c r="I438" s="1">
        <v>6969.6</v>
      </c>
      <c r="J438" t="s">
        <v>0</v>
      </c>
      <c r="K438">
        <v>2019</v>
      </c>
    </row>
    <row r="439" spans="1:11" x14ac:dyDescent="0.3">
      <c r="A439" t="s">
        <v>12</v>
      </c>
      <c r="B439" t="s">
        <v>42</v>
      </c>
      <c r="C439" t="s">
        <v>2</v>
      </c>
      <c r="D439" t="s">
        <v>26</v>
      </c>
      <c r="E439" s="1">
        <v>1867</v>
      </c>
      <c r="F439" s="1">
        <v>300</v>
      </c>
      <c r="G439" s="1">
        <v>560100</v>
      </c>
      <c r="H439" s="1">
        <v>509691</v>
      </c>
      <c r="I439" s="1">
        <v>42941</v>
      </c>
      <c r="J439" t="s">
        <v>21</v>
      </c>
      <c r="K439">
        <v>2019</v>
      </c>
    </row>
    <row r="440" spans="1:11" x14ac:dyDescent="0.3">
      <c r="A440" t="s">
        <v>3</v>
      </c>
      <c r="B440" t="s">
        <v>14</v>
      </c>
      <c r="C440" t="s">
        <v>2</v>
      </c>
      <c r="D440" t="s">
        <v>26</v>
      </c>
      <c r="E440" s="1">
        <v>2234</v>
      </c>
      <c r="F440" s="1">
        <v>12</v>
      </c>
      <c r="G440" s="1">
        <v>26808</v>
      </c>
      <c r="H440" s="1">
        <v>24395.279999999999</v>
      </c>
      <c r="I440" s="1">
        <v>17693.28</v>
      </c>
      <c r="J440" t="s">
        <v>21</v>
      </c>
      <c r="K440">
        <v>2018</v>
      </c>
    </row>
    <row r="441" spans="1:11" x14ac:dyDescent="0.3">
      <c r="A441" t="s">
        <v>18</v>
      </c>
      <c r="B441" t="s">
        <v>14</v>
      </c>
      <c r="C441" t="s">
        <v>2</v>
      </c>
      <c r="D441" t="s">
        <v>26</v>
      </c>
      <c r="E441" s="1">
        <v>1227</v>
      </c>
      <c r="F441" s="1">
        <v>15</v>
      </c>
      <c r="G441" s="1">
        <v>18405</v>
      </c>
      <c r="H441" s="1">
        <v>16748.55</v>
      </c>
      <c r="I441" s="1">
        <v>4478.5499999999993</v>
      </c>
      <c r="J441" t="s">
        <v>10</v>
      </c>
      <c r="K441">
        <v>2019</v>
      </c>
    </row>
    <row r="442" spans="1:11" x14ac:dyDescent="0.3">
      <c r="A442" t="s">
        <v>17</v>
      </c>
      <c r="B442" t="s">
        <v>9</v>
      </c>
      <c r="C442" t="s">
        <v>2</v>
      </c>
      <c r="D442" t="s">
        <v>26</v>
      </c>
      <c r="E442" s="1">
        <v>877</v>
      </c>
      <c r="F442" s="1">
        <v>125</v>
      </c>
      <c r="G442" s="1">
        <v>109625</v>
      </c>
      <c r="H442" s="1">
        <v>99758.75</v>
      </c>
      <c r="I442" s="1">
        <v>-5481.25</v>
      </c>
      <c r="J442" t="s">
        <v>16</v>
      </c>
      <c r="K442">
        <v>2019</v>
      </c>
    </row>
    <row r="443" spans="1:11" x14ac:dyDescent="0.3">
      <c r="A443" t="s">
        <v>6</v>
      </c>
      <c r="B443" t="s">
        <v>42</v>
      </c>
      <c r="C443" t="s">
        <v>11</v>
      </c>
      <c r="D443" t="s">
        <v>26</v>
      </c>
      <c r="E443" s="1">
        <v>2071</v>
      </c>
      <c r="F443" s="1">
        <v>350</v>
      </c>
      <c r="G443" s="1">
        <v>724850</v>
      </c>
      <c r="H443" s="1">
        <v>659613.5</v>
      </c>
      <c r="I443" s="1">
        <v>121153.5</v>
      </c>
      <c r="J443" t="s">
        <v>21</v>
      </c>
      <c r="K443">
        <v>2019</v>
      </c>
    </row>
    <row r="444" spans="1:11" x14ac:dyDescent="0.3">
      <c r="A444" t="s">
        <v>6</v>
      </c>
      <c r="B444" t="s">
        <v>40</v>
      </c>
      <c r="C444" t="s">
        <v>11</v>
      </c>
      <c r="D444" t="s">
        <v>26</v>
      </c>
      <c r="E444" s="1">
        <v>1269</v>
      </c>
      <c r="F444" s="1">
        <v>350</v>
      </c>
      <c r="G444" s="1">
        <v>444150</v>
      </c>
      <c r="H444" s="1">
        <v>404176.5</v>
      </c>
      <c r="I444" s="1">
        <v>74236.5</v>
      </c>
      <c r="J444" t="s">
        <v>10</v>
      </c>
      <c r="K444">
        <v>2019</v>
      </c>
    </row>
    <row r="445" spans="1:11" x14ac:dyDescent="0.3">
      <c r="A445" t="s">
        <v>18</v>
      </c>
      <c r="B445" t="s">
        <v>41</v>
      </c>
      <c r="C445" t="s">
        <v>11</v>
      </c>
      <c r="D445" t="s">
        <v>26</v>
      </c>
      <c r="E445" s="1">
        <v>970</v>
      </c>
      <c r="F445" s="1">
        <v>15</v>
      </c>
      <c r="G445" s="1">
        <v>14550</v>
      </c>
      <c r="H445" s="1">
        <v>13240.5</v>
      </c>
      <c r="I445" s="1">
        <v>3540.5</v>
      </c>
      <c r="J445" t="s">
        <v>16</v>
      </c>
      <c r="K445">
        <v>2018</v>
      </c>
    </row>
    <row r="446" spans="1:11" x14ac:dyDescent="0.3">
      <c r="A446" t="s">
        <v>6</v>
      </c>
      <c r="B446" t="s">
        <v>9</v>
      </c>
      <c r="C446" t="s">
        <v>11</v>
      </c>
      <c r="D446" t="s">
        <v>26</v>
      </c>
      <c r="E446" s="1">
        <v>1694</v>
      </c>
      <c r="F446" s="1">
        <v>20</v>
      </c>
      <c r="G446" s="1">
        <v>33880</v>
      </c>
      <c r="H446" s="1">
        <v>30830.799999999999</v>
      </c>
      <c r="I446" s="1">
        <v>13890.8</v>
      </c>
      <c r="J446" t="s">
        <v>16</v>
      </c>
      <c r="K446">
        <v>2019</v>
      </c>
    </row>
    <row r="447" spans="1:11" x14ac:dyDescent="0.3">
      <c r="A447" t="s">
        <v>6</v>
      </c>
      <c r="B447" t="s">
        <v>41</v>
      </c>
      <c r="C447" t="s">
        <v>23</v>
      </c>
      <c r="D447" t="s">
        <v>26</v>
      </c>
      <c r="E447" s="1">
        <v>663</v>
      </c>
      <c r="F447" s="1">
        <v>20</v>
      </c>
      <c r="G447" s="1">
        <v>13260</v>
      </c>
      <c r="H447" s="1">
        <v>12066.6</v>
      </c>
      <c r="I447" s="1">
        <v>5436.6</v>
      </c>
      <c r="J447" t="s">
        <v>0</v>
      </c>
      <c r="K447">
        <v>2019</v>
      </c>
    </row>
    <row r="448" spans="1:11" x14ac:dyDescent="0.3">
      <c r="A448" t="s">
        <v>6</v>
      </c>
      <c r="B448" t="s">
        <v>40</v>
      </c>
      <c r="C448" t="s">
        <v>23</v>
      </c>
      <c r="D448" t="s">
        <v>26</v>
      </c>
      <c r="E448" s="1">
        <v>819</v>
      </c>
      <c r="F448" s="1">
        <v>7</v>
      </c>
      <c r="G448" s="1">
        <v>5733</v>
      </c>
      <c r="H448" s="1">
        <v>5217.03</v>
      </c>
      <c r="I448" s="1">
        <v>1122.03</v>
      </c>
      <c r="J448" t="s">
        <v>19</v>
      </c>
      <c r="K448">
        <v>2019</v>
      </c>
    </row>
    <row r="449" spans="1:11" x14ac:dyDescent="0.3">
      <c r="A449" t="s">
        <v>3</v>
      </c>
      <c r="B449" t="s">
        <v>41</v>
      </c>
      <c r="C449" t="s">
        <v>23</v>
      </c>
      <c r="D449" t="s">
        <v>26</v>
      </c>
      <c r="E449" s="1">
        <v>1580</v>
      </c>
      <c r="F449" s="1">
        <v>12</v>
      </c>
      <c r="G449" s="1">
        <v>18960</v>
      </c>
      <c r="H449" s="1">
        <v>17253.599999999999</v>
      </c>
      <c r="I449" s="1">
        <v>12513.599999999999</v>
      </c>
      <c r="J449" t="s">
        <v>21</v>
      </c>
      <c r="K449">
        <v>2019</v>
      </c>
    </row>
    <row r="450" spans="1:11" x14ac:dyDescent="0.3">
      <c r="A450" t="s">
        <v>6</v>
      </c>
      <c r="B450" t="s">
        <v>9</v>
      </c>
      <c r="C450" t="s">
        <v>23</v>
      </c>
      <c r="D450" t="s">
        <v>26</v>
      </c>
      <c r="E450" s="1">
        <v>521</v>
      </c>
      <c r="F450" s="1">
        <v>7</v>
      </c>
      <c r="G450" s="1">
        <v>3647</v>
      </c>
      <c r="H450" s="1">
        <v>3318.77</v>
      </c>
      <c r="I450" s="1">
        <v>713.77</v>
      </c>
      <c r="J450" t="s">
        <v>15</v>
      </c>
      <c r="K450">
        <v>2019</v>
      </c>
    </row>
    <row r="451" spans="1:11" x14ac:dyDescent="0.3">
      <c r="A451" t="s">
        <v>6</v>
      </c>
      <c r="B451" t="s">
        <v>42</v>
      </c>
      <c r="C451" t="s">
        <v>5</v>
      </c>
      <c r="D451" t="s">
        <v>26</v>
      </c>
      <c r="E451" s="1">
        <v>973</v>
      </c>
      <c r="F451" s="1">
        <v>20</v>
      </c>
      <c r="G451" s="1">
        <v>19460</v>
      </c>
      <c r="H451" s="1">
        <v>17708.599999999999</v>
      </c>
      <c r="I451" s="1">
        <v>7978.5999999999985</v>
      </c>
      <c r="J451" t="s">
        <v>13</v>
      </c>
      <c r="K451">
        <v>2019</v>
      </c>
    </row>
    <row r="452" spans="1:11" x14ac:dyDescent="0.3">
      <c r="A452" t="s">
        <v>6</v>
      </c>
      <c r="B452" t="s">
        <v>9</v>
      </c>
      <c r="C452" t="s">
        <v>5</v>
      </c>
      <c r="D452" t="s">
        <v>26</v>
      </c>
      <c r="E452" s="1">
        <v>1038</v>
      </c>
      <c r="F452" s="1">
        <v>20</v>
      </c>
      <c r="G452" s="1">
        <v>20760</v>
      </c>
      <c r="H452" s="1">
        <v>18891.599999999999</v>
      </c>
      <c r="I452" s="1">
        <v>8511.5999999999985</v>
      </c>
      <c r="J452" t="s">
        <v>25</v>
      </c>
      <c r="K452">
        <v>2019</v>
      </c>
    </row>
    <row r="453" spans="1:11" x14ac:dyDescent="0.3">
      <c r="A453" t="s">
        <v>6</v>
      </c>
      <c r="B453" t="s">
        <v>41</v>
      </c>
      <c r="C453" t="s">
        <v>5</v>
      </c>
      <c r="D453" t="s">
        <v>26</v>
      </c>
      <c r="E453" s="1">
        <v>360</v>
      </c>
      <c r="F453" s="1">
        <v>7</v>
      </c>
      <c r="G453" s="1">
        <v>2520</v>
      </c>
      <c r="H453" s="1">
        <v>2293.1999999999998</v>
      </c>
      <c r="I453" s="1">
        <v>493.19999999999982</v>
      </c>
      <c r="J453" t="s">
        <v>10</v>
      </c>
      <c r="K453">
        <v>2019</v>
      </c>
    </row>
    <row r="454" spans="1:11" x14ac:dyDescent="0.3">
      <c r="A454" t="s">
        <v>3</v>
      </c>
      <c r="B454" t="s">
        <v>14</v>
      </c>
      <c r="C454" t="s">
        <v>20</v>
      </c>
      <c r="D454" t="s">
        <v>26</v>
      </c>
      <c r="E454" s="1">
        <v>1967</v>
      </c>
      <c r="F454" s="1">
        <v>12</v>
      </c>
      <c r="G454" s="1">
        <v>23604</v>
      </c>
      <c r="H454" s="1">
        <v>21479.64</v>
      </c>
      <c r="I454" s="1">
        <v>15578.64</v>
      </c>
      <c r="J454" t="s">
        <v>13</v>
      </c>
      <c r="K454">
        <v>2019</v>
      </c>
    </row>
    <row r="455" spans="1:11" x14ac:dyDescent="0.3">
      <c r="A455" t="s">
        <v>18</v>
      </c>
      <c r="B455" t="s">
        <v>9</v>
      </c>
      <c r="C455" t="s">
        <v>20</v>
      </c>
      <c r="D455" t="s">
        <v>26</v>
      </c>
      <c r="E455" s="1">
        <v>2628</v>
      </c>
      <c r="F455" s="1">
        <v>15</v>
      </c>
      <c r="G455" s="1">
        <v>39420</v>
      </c>
      <c r="H455" s="1">
        <v>35872.199999999997</v>
      </c>
      <c r="I455" s="1">
        <v>9592.1999999999971</v>
      </c>
      <c r="J455" t="s">
        <v>4</v>
      </c>
      <c r="K455">
        <v>2019</v>
      </c>
    </row>
    <row r="456" spans="1:11" x14ac:dyDescent="0.3">
      <c r="A456" t="s">
        <v>6</v>
      </c>
      <c r="B456" t="s">
        <v>41</v>
      </c>
      <c r="C456" t="s">
        <v>2</v>
      </c>
      <c r="D456" t="s">
        <v>26</v>
      </c>
      <c r="E456" s="1">
        <v>360</v>
      </c>
      <c r="F456" s="1">
        <v>7</v>
      </c>
      <c r="G456" s="1">
        <v>2520</v>
      </c>
      <c r="H456" s="1">
        <v>2293.1999999999998</v>
      </c>
      <c r="I456" s="1">
        <v>493.19999999999982</v>
      </c>
      <c r="J456" t="s">
        <v>10</v>
      </c>
      <c r="K456">
        <v>2019</v>
      </c>
    </row>
    <row r="457" spans="1:11" x14ac:dyDescent="0.3">
      <c r="A457" t="s">
        <v>6</v>
      </c>
      <c r="B457" t="s">
        <v>14</v>
      </c>
      <c r="C457" t="s">
        <v>2</v>
      </c>
      <c r="D457" t="s">
        <v>26</v>
      </c>
      <c r="E457" s="1">
        <v>2682</v>
      </c>
      <c r="F457" s="1">
        <v>20</v>
      </c>
      <c r="G457" s="1">
        <v>53640</v>
      </c>
      <c r="H457" s="1">
        <v>48812.4</v>
      </c>
      <c r="I457" s="1">
        <v>21992.400000000001</v>
      </c>
      <c r="J457" t="s">
        <v>16</v>
      </c>
      <c r="K457">
        <v>2018</v>
      </c>
    </row>
    <row r="458" spans="1:11" x14ac:dyDescent="0.3">
      <c r="A458" t="s">
        <v>6</v>
      </c>
      <c r="B458" t="s">
        <v>9</v>
      </c>
      <c r="C458" t="s">
        <v>2</v>
      </c>
      <c r="D458" t="s">
        <v>26</v>
      </c>
      <c r="E458" s="1">
        <v>521</v>
      </c>
      <c r="F458" s="1">
        <v>7</v>
      </c>
      <c r="G458" s="1">
        <v>3647</v>
      </c>
      <c r="H458" s="1">
        <v>3318.77</v>
      </c>
      <c r="I458" s="1">
        <v>713.77</v>
      </c>
      <c r="J458" t="s">
        <v>15</v>
      </c>
      <c r="K458">
        <v>2019</v>
      </c>
    </row>
    <row r="459" spans="1:11" x14ac:dyDescent="0.3">
      <c r="A459" t="s">
        <v>6</v>
      </c>
      <c r="B459" t="s">
        <v>9</v>
      </c>
      <c r="C459" t="s">
        <v>11</v>
      </c>
      <c r="D459" t="s">
        <v>26</v>
      </c>
      <c r="E459" s="1">
        <v>1038</v>
      </c>
      <c r="F459" s="1">
        <v>20</v>
      </c>
      <c r="G459" s="1">
        <v>20760</v>
      </c>
      <c r="H459" s="1">
        <v>18891.599999999999</v>
      </c>
      <c r="I459" s="1">
        <v>8511.5999999999985</v>
      </c>
      <c r="J459" t="s">
        <v>25</v>
      </c>
      <c r="K459">
        <v>2019</v>
      </c>
    </row>
    <row r="460" spans="1:11" x14ac:dyDescent="0.3">
      <c r="A460" t="s">
        <v>18</v>
      </c>
      <c r="B460" t="s">
        <v>40</v>
      </c>
      <c r="C460" t="s">
        <v>11</v>
      </c>
      <c r="D460" t="s">
        <v>26</v>
      </c>
      <c r="E460" s="1">
        <v>1630.5</v>
      </c>
      <c r="F460" s="1">
        <v>15</v>
      </c>
      <c r="G460" s="1">
        <v>24457.5</v>
      </c>
      <c r="H460" s="1">
        <v>22256.324999999997</v>
      </c>
      <c r="I460" s="1">
        <v>5951.3249999999989</v>
      </c>
      <c r="J460" t="s">
        <v>19</v>
      </c>
      <c r="K460">
        <v>2019</v>
      </c>
    </row>
    <row r="461" spans="1:11" x14ac:dyDescent="0.3">
      <c r="A461" t="s">
        <v>3</v>
      </c>
      <c r="B461" t="s">
        <v>14</v>
      </c>
      <c r="C461" t="s">
        <v>11</v>
      </c>
      <c r="D461" t="s">
        <v>26</v>
      </c>
      <c r="E461" s="1">
        <v>306</v>
      </c>
      <c r="F461" s="1">
        <v>12</v>
      </c>
      <c r="G461" s="1">
        <v>3672</v>
      </c>
      <c r="H461" s="1">
        <v>3341.52</v>
      </c>
      <c r="I461" s="1">
        <v>2423.52</v>
      </c>
      <c r="J461" t="s">
        <v>15</v>
      </c>
      <c r="K461">
        <v>2018</v>
      </c>
    </row>
    <row r="462" spans="1:11" x14ac:dyDescent="0.3">
      <c r="A462" t="s">
        <v>3</v>
      </c>
      <c r="B462" t="s">
        <v>42</v>
      </c>
      <c r="C462" t="s">
        <v>23</v>
      </c>
      <c r="D462" t="s">
        <v>1</v>
      </c>
      <c r="E462" s="1">
        <v>386</v>
      </c>
      <c r="F462" s="1">
        <v>12</v>
      </c>
      <c r="G462" s="1">
        <v>4632</v>
      </c>
      <c r="H462" s="1">
        <v>4168.8</v>
      </c>
      <c r="I462" s="1">
        <v>3010.8</v>
      </c>
      <c r="J462" t="s">
        <v>10</v>
      </c>
      <c r="K462">
        <v>2018</v>
      </c>
    </row>
    <row r="463" spans="1:11" x14ac:dyDescent="0.3">
      <c r="A463" t="s">
        <v>6</v>
      </c>
      <c r="B463" t="s">
        <v>42</v>
      </c>
      <c r="C463" t="s">
        <v>8</v>
      </c>
      <c r="D463" t="s">
        <v>1</v>
      </c>
      <c r="E463" s="1">
        <v>2328</v>
      </c>
      <c r="F463" s="1">
        <v>7</v>
      </c>
      <c r="G463" s="1">
        <v>16296</v>
      </c>
      <c r="H463" s="1">
        <v>14666.4</v>
      </c>
      <c r="I463" s="1">
        <v>3026.3999999999996</v>
      </c>
      <c r="J463" t="s">
        <v>21</v>
      </c>
      <c r="K463">
        <v>2019</v>
      </c>
    </row>
    <row r="464" spans="1:11" x14ac:dyDescent="0.3">
      <c r="A464" t="s">
        <v>3</v>
      </c>
      <c r="B464" t="s">
        <v>42</v>
      </c>
      <c r="C464" t="s">
        <v>5</v>
      </c>
      <c r="D464" t="s">
        <v>1</v>
      </c>
      <c r="E464" s="1">
        <v>386</v>
      </c>
      <c r="F464" s="1">
        <v>12</v>
      </c>
      <c r="G464" s="1">
        <v>4632</v>
      </c>
      <c r="H464" s="1">
        <v>4168.8</v>
      </c>
      <c r="I464" s="1">
        <v>3010.8</v>
      </c>
      <c r="J464" t="s">
        <v>10</v>
      </c>
      <c r="K464">
        <v>2018</v>
      </c>
    </row>
    <row r="465" spans="1:11" x14ac:dyDescent="0.3">
      <c r="A465" t="s">
        <v>17</v>
      </c>
      <c r="B465" t="s">
        <v>42</v>
      </c>
      <c r="C465" t="s">
        <v>23</v>
      </c>
      <c r="D465" t="s">
        <v>1</v>
      </c>
      <c r="E465" s="1">
        <v>3445.5</v>
      </c>
      <c r="F465" s="1">
        <v>125</v>
      </c>
      <c r="G465" s="1">
        <v>430687.5</v>
      </c>
      <c r="H465" s="1">
        <v>387618.75</v>
      </c>
      <c r="I465" s="1">
        <v>-25841.25</v>
      </c>
      <c r="J465" t="s">
        <v>4</v>
      </c>
      <c r="K465">
        <v>2019</v>
      </c>
    </row>
    <row r="466" spans="1:11" x14ac:dyDescent="0.3">
      <c r="A466" t="s">
        <v>17</v>
      </c>
      <c r="B466" t="s">
        <v>14</v>
      </c>
      <c r="C466" t="s">
        <v>23</v>
      </c>
      <c r="D466" t="s">
        <v>1</v>
      </c>
      <c r="E466" s="1">
        <v>1482</v>
      </c>
      <c r="F466" s="1">
        <v>125</v>
      </c>
      <c r="G466" s="1">
        <v>185250</v>
      </c>
      <c r="H466" s="1">
        <v>166725</v>
      </c>
      <c r="I466" s="1">
        <v>-11115</v>
      </c>
      <c r="J466" t="s">
        <v>15</v>
      </c>
      <c r="K466">
        <v>2018</v>
      </c>
    </row>
    <row r="467" spans="1:11" x14ac:dyDescent="0.3">
      <c r="A467" t="s">
        <v>6</v>
      </c>
      <c r="B467" t="s">
        <v>42</v>
      </c>
      <c r="C467" t="s">
        <v>8</v>
      </c>
      <c r="D467" t="s">
        <v>1</v>
      </c>
      <c r="E467" s="1">
        <v>2313</v>
      </c>
      <c r="F467" s="1">
        <v>350</v>
      </c>
      <c r="G467" s="1">
        <v>809550</v>
      </c>
      <c r="H467" s="1">
        <v>728595</v>
      </c>
      <c r="I467" s="1">
        <v>127215</v>
      </c>
      <c r="J467" t="s">
        <v>0</v>
      </c>
      <c r="K467">
        <v>2019</v>
      </c>
    </row>
    <row r="468" spans="1:11" x14ac:dyDescent="0.3">
      <c r="A468" t="s">
        <v>17</v>
      </c>
      <c r="B468" t="s">
        <v>42</v>
      </c>
      <c r="C468" t="s">
        <v>8</v>
      </c>
      <c r="D468" t="s">
        <v>1</v>
      </c>
      <c r="E468" s="1">
        <v>1804</v>
      </c>
      <c r="F468" s="1">
        <v>125</v>
      </c>
      <c r="G468" s="1">
        <v>225500</v>
      </c>
      <c r="H468" s="1">
        <v>202950</v>
      </c>
      <c r="I468" s="1">
        <v>-13530</v>
      </c>
      <c r="J468" t="s">
        <v>16</v>
      </c>
      <c r="K468">
        <v>2018</v>
      </c>
    </row>
    <row r="469" spans="1:11" x14ac:dyDescent="0.3">
      <c r="A469" t="s">
        <v>18</v>
      </c>
      <c r="B469" t="s">
        <v>14</v>
      </c>
      <c r="C469" t="s">
        <v>8</v>
      </c>
      <c r="D469" t="s">
        <v>1</v>
      </c>
      <c r="E469" s="1">
        <v>2072</v>
      </c>
      <c r="F469" s="1">
        <v>15</v>
      </c>
      <c r="G469" s="1">
        <v>31080</v>
      </c>
      <c r="H469" s="1">
        <v>27972</v>
      </c>
      <c r="I469" s="1">
        <v>7252</v>
      </c>
      <c r="J469" t="s">
        <v>15</v>
      </c>
      <c r="K469">
        <v>2019</v>
      </c>
    </row>
    <row r="470" spans="1:11" x14ac:dyDescent="0.3">
      <c r="A470" t="s">
        <v>6</v>
      </c>
      <c r="B470" t="s">
        <v>14</v>
      </c>
      <c r="C470" t="s">
        <v>5</v>
      </c>
      <c r="D470" t="s">
        <v>1</v>
      </c>
      <c r="E470" s="1">
        <v>1954</v>
      </c>
      <c r="F470" s="1">
        <v>20</v>
      </c>
      <c r="G470" s="1">
        <v>39080</v>
      </c>
      <c r="H470" s="1">
        <v>35172</v>
      </c>
      <c r="I470" s="1">
        <v>15632</v>
      </c>
      <c r="J470" t="s">
        <v>13</v>
      </c>
      <c r="K470">
        <v>2019</v>
      </c>
    </row>
    <row r="471" spans="1:11" x14ac:dyDescent="0.3">
      <c r="A471" t="s">
        <v>12</v>
      </c>
      <c r="B471" t="s">
        <v>9</v>
      </c>
      <c r="C471" t="s">
        <v>5</v>
      </c>
      <c r="D471" t="s">
        <v>1</v>
      </c>
      <c r="E471" s="1">
        <v>591</v>
      </c>
      <c r="F471" s="1">
        <v>300</v>
      </c>
      <c r="G471" s="1">
        <v>177300</v>
      </c>
      <c r="H471" s="1">
        <v>159570</v>
      </c>
      <c r="I471" s="1">
        <v>11820</v>
      </c>
      <c r="J471" t="s">
        <v>0</v>
      </c>
      <c r="K471">
        <v>2019</v>
      </c>
    </row>
    <row r="472" spans="1:11" x14ac:dyDescent="0.3">
      <c r="A472" t="s">
        <v>18</v>
      </c>
      <c r="B472" t="s">
        <v>14</v>
      </c>
      <c r="C472" t="s">
        <v>5</v>
      </c>
      <c r="D472" t="s">
        <v>1</v>
      </c>
      <c r="E472" s="1">
        <v>2167</v>
      </c>
      <c r="F472" s="1">
        <v>15</v>
      </c>
      <c r="G472" s="1">
        <v>32505</v>
      </c>
      <c r="H472" s="1">
        <v>29254.5</v>
      </c>
      <c r="I472" s="1">
        <v>7584.5</v>
      </c>
      <c r="J472" t="s">
        <v>10</v>
      </c>
      <c r="K472">
        <v>2018</v>
      </c>
    </row>
    <row r="473" spans="1:11" x14ac:dyDescent="0.3">
      <c r="A473" t="s">
        <v>6</v>
      </c>
      <c r="B473" t="s">
        <v>41</v>
      </c>
      <c r="C473" t="s">
        <v>5</v>
      </c>
      <c r="D473" t="s">
        <v>1</v>
      </c>
      <c r="E473" s="1">
        <v>241</v>
      </c>
      <c r="F473" s="1">
        <v>20</v>
      </c>
      <c r="G473" s="1">
        <v>4820</v>
      </c>
      <c r="H473" s="1">
        <v>4338</v>
      </c>
      <c r="I473" s="1">
        <v>1928</v>
      </c>
      <c r="J473" t="s">
        <v>10</v>
      </c>
      <c r="K473">
        <v>2019</v>
      </c>
    </row>
    <row r="474" spans="1:11" x14ac:dyDescent="0.3">
      <c r="A474" t="s">
        <v>18</v>
      </c>
      <c r="B474" t="s">
        <v>41</v>
      </c>
      <c r="C474" t="s">
        <v>20</v>
      </c>
      <c r="D474" t="s">
        <v>1</v>
      </c>
      <c r="E474" s="1">
        <v>681</v>
      </c>
      <c r="F474" s="1">
        <v>15</v>
      </c>
      <c r="G474" s="1">
        <v>10215</v>
      </c>
      <c r="H474" s="1">
        <v>9193.5</v>
      </c>
      <c r="I474" s="1">
        <v>2383.5</v>
      </c>
      <c r="J474" t="s">
        <v>24</v>
      </c>
      <c r="K474">
        <v>2019</v>
      </c>
    </row>
    <row r="475" spans="1:11" x14ac:dyDescent="0.3">
      <c r="A475" t="s">
        <v>18</v>
      </c>
      <c r="B475" t="s">
        <v>41</v>
      </c>
      <c r="C475" t="s">
        <v>20</v>
      </c>
      <c r="D475" t="s">
        <v>1</v>
      </c>
      <c r="E475" s="1">
        <v>510</v>
      </c>
      <c r="F475" s="1">
        <v>15</v>
      </c>
      <c r="G475" s="1">
        <v>7650</v>
      </c>
      <c r="H475" s="1">
        <v>6885</v>
      </c>
      <c r="I475" s="1">
        <v>1785</v>
      </c>
      <c r="J475" t="s">
        <v>4</v>
      </c>
      <c r="K475">
        <v>2019</v>
      </c>
    </row>
    <row r="476" spans="1:11" x14ac:dyDescent="0.3">
      <c r="A476" t="s">
        <v>18</v>
      </c>
      <c r="B476" t="s">
        <v>42</v>
      </c>
      <c r="C476" t="s">
        <v>20</v>
      </c>
      <c r="D476" t="s">
        <v>1</v>
      </c>
      <c r="E476" s="1">
        <v>790</v>
      </c>
      <c r="F476" s="1">
        <v>15</v>
      </c>
      <c r="G476" s="1">
        <v>11850</v>
      </c>
      <c r="H476" s="1">
        <v>10665</v>
      </c>
      <c r="I476" s="1">
        <v>2765</v>
      </c>
      <c r="J476" t="s">
        <v>0</v>
      </c>
      <c r="K476">
        <v>2019</v>
      </c>
    </row>
    <row r="477" spans="1:11" x14ac:dyDescent="0.3">
      <c r="A477" t="s">
        <v>6</v>
      </c>
      <c r="B477" t="s">
        <v>14</v>
      </c>
      <c r="C477" t="s">
        <v>20</v>
      </c>
      <c r="D477" t="s">
        <v>1</v>
      </c>
      <c r="E477" s="1">
        <v>639</v>
      </c>
      <c r="F477" s="1">
        <v>350</v>
      </c>
      <c r="G477" s="1">
        <v>223650</v>
      </c>
      <c r="H477" s="1">
        <v>201285</v>
      </c>
      <c r="I477" s="1">
        <v>35145</v>
      </c>
      <c r="J477" t="s">
        <v>19</v>
      </c>
      <c r="K477">
        <v>2019</v>
      </c>
    </row>
    <row r="478" spans="1:11" x14ac:dyDescent="0.3">
      <c r="A478" t="s">
        <v>17</v>
      </c>
      <c r="B478" t="s">
        <v>42</v>
      </c>
      <c r="C478" t="s">
        <v>20</v>
      </c>
      <c r="D478" t="s">
        <v>1</v>
      </c>
      <c r="E478" s="1">
        <v>1596</v>
      </c>
      <c r="F478" s="1">
        <v>125</v>
      </c>
      <c r="G478" s="1">
        <v>199500</v>
      </c>
      <c r="H478" s="1">
        <v>179550</v>
      </c>
      <c r="I478" s="1">
        <v>-11970</v>
      </c>
      <c r="J478" t="s">
        <v>21</v>
      </c>
      <c r="K478">
        <v>2019</v>
      </c>
    </row>
    <row r="479" spans="1:11" x14ac:dyDescent="0.3">
      <c r="A479" t="s">
        <v>12</v>
      </c>
      <c r="B479" t="s">
        <v>42</v>
      </c>
      <c r="C479" t="s">
        <v>20</v>
      </c>
      <c r="D479" t="s">
        <v>1</v>
      </c>
      <c r="E479" s="1">
        <v>2294</v>
      </c>
      <c r="F479" s="1">
        <v>300</v>
      </c>
      <c r="G479" s="1">
        <v>688200</v>
      </c>
      <c r="H479" s="1">
        <v>619380</v>
      </c>
      <c r="I479" s="1">
        <v>45880</v>
      </c>
      <c r="J479" t="s">
        <v>10</v>
      </c>
      <c r="K479">
        <v>2018</v>
      </c>
    </row>
    <row r="480" spans="1:11" x14ac:dyDescent="0.3">
      <c r="A480" t="s">
        <v>6</v>
      </c>
      <c r="B480" t="s">
        <v>41</v>
      </c>
      <c r="C480" t="s">
        <v>20</v>
      </c>
      <c r="D480" t="s">
        <v>1</v>
      </c>
      <c r="E480" s="1">
        <v>241</v>
      </c>
      <c r="F480" s="1">
        <v>20</v>
      </c>
      <c r="G480" s="1">
        <v>4820</v>
      </c>
      <c r="H480" s="1">
        <v>4338</v>
      </c>
      <c r="I480" s="1">
        <v>1928</v>
      </c>
      <c r="J480" t="s">
        <v>10</v>
      </c>
      <c r="K480">
        <v>2019</v>
      </c>
    </row>
    <row r="481" spans="1:11" x14ac:dyDescent="0.3">
      <c r="A481" t="s">
        <v>6</v>
      </c>
      <c r="B481" t="s">
        <v>41</v>
      </c>
      <c r="C481" t="s">
        <v>20</v>
      </c>
      <c r="D481" t="s">
        <v>1</v>
      </c>
      <c r="E481" s="1">
        <v>2665</v>
      </c>
      <c r="F481" s="1">
        <v>7</v>
      </c>
      <c r="G481" s="1">
        <v>18655</v>
      </c>
      <c r="H481" s="1">
        <v>16789.5</v>
      </c>
      <c r="I481" s="1">
        <v>3464.5</v>
      </c>
      <c r="J481" t="s">
        <v>16</v>
      </c>
      <c r="K481">
        <v>2019</v>
      </c>
    </row>
    <row r="482" spans="1:11" x14ac:dyDescent="0.3">
      <c r="A482" t="s">
        <v>17</v>
      </c>
      <c r="B482" t="s">
        <v>40</v>
      </c>
      <c r="C482" t="s">
        <v>20</v>
      </c>
      <c r="D482" t="s">
        <v>1</v>
      </c>
      <c r="E482" s="1">
        <v>1916</v>
      </c>
      <c r="F482" s="1">
        <v>125</v>
      </c>
      <c r="G482" s="1">
        <v>239500</v>
      </c>
      <c r="H482" s="1">
        <v>215550</v>
      </c>
      <c r="I482" s="1">
        <v>-14370</v>
      </c>
      <c r="J482" t="s">
        <v>15</v>
      </c>
      <c r="K482">
        <v>2018</v>
      </c>
    </row>
    <row r="483" spans="1:11" x14ac:dyDescent="0.3">
      <c r="A483" t="s">
        <v>12</v>
      </c>
      <c r="B483" t="s">
        <v>14</v>
      </c>
      <c r="C483" t="s">
        <v>20</v>
      </c>
      <c r="D483" t="s">
        <v>1</v>
      </c>
      <c r="E483" s="1">
        <v>853</v>
      </c>
      <c r="F483" s="1">
        <v>300</v>
      </c>
      <c r="G483" s="1">
        <v>255900</v>
      </c>
      <c r="H483" s="1">
        <v>230310</v>
      </c>
      <c r="I483" s="1">
        <v>17060</v>
      </c>
      <c r="J483" t="s">
        <v>15</v>
      </c>
      <c r="K483">
        <v>2019</v>
      </c>
    </row>
    <row r="484" spans="1:11" x14ac:dyDescent="0.3">
      <c r="A484" t="s">
        <v>17</v>
      </c>
      <c r="B484" t="s">
        <v>9</v>
      </c>
      <c r="C484" t="s">
        <v>2</v>
      </c>
      <c r="D484" t="s">
        <v>1</v>
      </c>
      <c r="E484" s="1">
        <v>341</v>
      </c>
      <c r="F484" s="1">
        <v>125</v>
      </c>
      <c r="G484" s="1">
        <v>42625</v>
      </c>
      <c r="H484" s="1">
        <v>38362.5</v>
      </c>
      <c r="I484" s="1">
        <v>-2557.5</v>
      </c>
      <c r="J484" t="s">
        <v>0</v>
      </c>
      <c r="K484">
        <v>2019</v>
      </c>
    </row>
    <row r="485" spans="1:11" x14ac:dyDescent="0.3">
      <c r="A485" t="s">
        <v>18</v>
      </c>
      <c r="B485" t="s">
        <v>9</v>
      </c>
      <c r="C485" t="s">
        <v>2</v>
      </c>
      <c r="D485" t="s">
        <v>1</v>
      </c>
      <c r="E485" s="1">
        <v>641</v>
      </c>
      <c r="F485" s="1">
        <v>15</v>
      </c>
      <c r="G485" s="1">
        <v>9615</v>
      </c>
      <c r="H485" s="1">
        <v>8653.5</v>
      </c>
      <c r="I485" s="1">
        <v>2243.5</v>
      </c>
      <c r="J485" t="s">
        <v>19</v>
      </c>
      <c r="K485">
        <v>2019</v>
      </c>
    </row>
    <row r="486" spans="1:11" x14ac:dyDescent="0.3">
      <c r="A486" t="s">
        <v>6</v>
      </c>
      <c r="B486" t="s">
        <v>42</v>
      </c>
      <c r="C486" t="s">
        <v>2</v>
      </c>
      <c r="D486" t="s">
        <v>1</v>
      </c>
      <c r="E486" s="1">
        <v>2807</v>
      </c>
      <c r="F486" s="1">
        <v>350</v>
      </c>
      <c r="G486" s="1">
        <v>982450</v>
      </c>
      <c r="H486" s="1">
        <v>884205</v>
      </c>
      <c r="I486" s="1">
        <v>154385</v>
      </c>
      <c r="J486" t="s">
        <v>22</v>
      </c>
      <c r="K486">
        <v>2019</v>
      </c>
    </row>
    <row r="487" spans="1:11" x14ac:dyDescent="0.3">
      <c r="A487" t="s">
        <v>12</v>
      </c>
      <c r="B487" t="s">
        <v>9</v>
      </c>
      <c r="C487" t="s">
        <v>2</v>
      </c>
      <c r="D487" t="s">
        <v>1</v>
      </c>
      <c r="E487" s="1">
        <v>432</v>
      </c>
      <c r="F487" s="1">
        <v>300</v>
      </c>
      <c r="G487" s="1">
        <v>129600</v>
      </c>
      <c r="H487" s="1">
        <v>116640</v>
      </c>
      <c r="I487" s="1">
        <v>8640</v>
      </c>
      <c r="J487" t="s">
        <v>21</v>
      </c>
      <c r="K487">
        <v>2019</v>
      </c>
    </row>
    <row r="488" spans="1:11" x14ac:dyDescent="0.3">
      <c r="A488" t="s">
        <v>12</v>
      </c>
      <c r="B488" t="s">
        <v>42</v>
      </c>
      <c r="C488" t="s">
        <v>2</v>
      </c>
      <c r="D488" t="s">
        <v>1</v>
      </c>
      <c r="E488" s="1">
        <v>2294</v>
      </c>
      <c r="F488" s="1">
        <v>300</v>
      </c>
      <c r="G488" s="1">
        <v>688200</v>
      </c>
      <c r="H488" s="1">
        <v>619380</v>
      </c>
      <c r="I488" s="1">
        <v>45880</v>
      </c>
      <c r="J488" t="s">
        <v>10</v>
      </c>
      <c r="K488">
        <v>2018</v>
      </c>
    </row>
    <row r="489" spans="1:11" x14ac:dyDescent="0.3">
      <c r="A489" t="s">
        <v>18</v>
      </c>
      <c r="B489" t="s">
        <v>14</v>
      </c>
      <c r="C489" t="s">
        <v>2</v>
      </c>
      <c r="D489" t="s">
        <v>1</v>
      </c>
      <c r="E489" s="1">
        <v>2167</v>
      </c>
      <c r="F489" s="1">
        <v>15</v>
      </c>
      <c r="G489" s="1">
        <v>32505</v>
      </c>
      <c r="H489" s="1">
        <v>29254.5</v>
      </c>
      <c r="I489" s="1">
        <v>7584.5</v>
      </c>
      <c r="J489" t="s">
        <v>10</v>
      </c>
      <c r="K489">
        <v>2018</v>
      </c>
    </row>
    <row r="490" spans="1:11" x14ac:dyDescent="0.3">
      <c r="A490" t="s">
        <v>17</v>
      </c>
      <c r="B490" t="s">
        <v>40</v>
      </c>
      <c r="C490" t="s">
        <v>2</v>
      </c>
      <c r="D490" t="s">
        <v>1</v>
      </c>
      <c r="E490" s="1">
        <v>2529</v>
      </c>
      <c r="F490" s="1">
        <v>125</v>
      </c>
      <c r="G490" s="1">
        <v>316125</v>
      </c>
      <c r="H490" s="1">
        <v>284512.5</v>
      </c>
      <c r="I490" s="1">
        <v>-18967.5</v>
      </c>
      <c r="J490" t="s">
        <v>16</v>
      </c>
      <c r="K490">
        <v>2019</v>
      </c>
    </row>
    <row r="491" spans="1:11" x14ac:dyDescent="0.3">
      <c r="A491" t="s">
        <v>6</v>
      </c>
      <c r="B491" t="s">
        <v>41</v>
      </c>
      <c r="C491" t="s">
        <v>2</v>
      </c>
      <c r="D491" t="s">
        <v>1</v>
      </c>
      <c r="E491" s="1">
        <v>1870</v>
      </c>
      <c r="F491" s="1">
        <v>350</v>
      </c>
      <c r="G491" s="1">
        <v>654500</v>
      </c>
      <c r="H491" s="1">
        <v>589050</v>
      </c>
      <c r="I491" s="1">
        <v>102850</v>
      </c>
      <c r="J491" t="s">
        <v>15</v>
      </c>
      <c r="K491">
        <v>2018</v>
      </c>
    </row>
    <row r="492" spans="1:11" x14ac:dyDescent="0.3">
      <c r="A492" t="s">
        <v>17</v>
      </c>
      <c r="B492" t="s">
        <v>42</v>
      </c>
      <c r="C492" t="s">
        <v>11</v>
      </c>
      <c r="D492" t="s">
        <v>1</v>
      </c>
      <c r="E492" s="1">
        <v>579</v>
      </c>
      <c r="F492" s="1">
        <v>125</v>
      </c>
      <c r="G492" s="1">
        <v>72375</v>
      </c>
      <c r="H492" s="1">
        <v>65137.5</v>
      </c>
      <c r="I492" s="1">
        <v>-4342.5</v>
      </c>
      <c r="J492" t="s">
        <v>24</v>
      </c>
      <c r="K492">
        <v>2019</v>
      </c>
    </row>
    <row r="493" spans="1:11" x14ac:dyDescent="0.3">
      <c r="A493" t="s">
        <v>6</v>
      </c>
      <c r="B493" t="s">
        <v>40</v>
      </c>
      <c r="C493" t="s">
        <v>11</v>
      </c>
      <c r="D493" t="s">
        <v>1</v>
      </c>
      <c r="E493" s="1">
        <v>2240</v>
      </c>
      <c r="F493" s="1">
        <v>350</v>
      </c>
      <c r="G493" s="1">
        <v>784000</v>
      </c>
      <c r="H493" s="1">
        <v>705600</v>
      </c>
      <c r="I493" s="1">
        <v>123200</v>
      </c>
      <c r="J493" t="s">
        <v>7</v>
      </c>
      <c r="K493">
        <v>2019</v>
      </c>
    </row>
    <row r="494" spans="1:11" x14ac:dyDescent="0.3">
      <c r="A494" t="s">
        <v>12</v>
      </c>
      <c r="B494" t="s">
        <v>42</v>
      </c>
      <c r="C494" t="s">
        <v>11</v>
      </c>
      <c r="D494" t="s">
        <v>1</v>
      </c>
      <c r="E494" s="1">
        <v>2993</v>
      </c>
      <c r="F494" s="1">
        <v>300</v>
      </c>
      <c r="G494" s="1">
        <v>897900</v>
      </c>
      <c r="H494" s="1">
        <v>808110</v>
      </c>
      <c r="I494" s="1">
        <v>59860</v>
      </c>
      <c r="J494" t="s">
        <v>13</v>
      </c>
      <c r="K494">
        <v>2019</v>
      </c>
    </row>
    <row r="495" spans="1:11" x14ac:dyDescent="0.3">
      <c r="A495" t="s">
        <v>3</v>
      </c>
      <c r="B495" t="s">
        <v>40</v>
      </c>
      <c r="C495" t="s">
        <v>11</v>
      </c>
      <c r="D495" t="s">
        <v>1</v>
      </c>
      <c r="E495" s="1">
        <v>3520.5</v>
      </c>
      <c r="F495" s="1">
        <v>12</v>
      </c>
      <c r="G495" s="1">
        <v>42246</v>
      </c>
      <c r="H495" s="1">
        <v>38021.399999999994</v>
      </c>
      <c r="I495" s="1">
        <v>27459.899999999998</v>
      </c>
      <c r="J495" t="s">
        <v>4</v>
      </c>
      <c r="K495">
        <v>2019</v>
      </c>
    </row>
    <row r="496" spans="1:11" x14ac:dyDescent="0.3">
      <c r="A496" t="s">
        <v>6</v>
      </c>
      <c r="B496" t="s">
        <v>9</v>
      </c>
      <c r="C496" t="s">
        <v>11</v>
      </c>
      <c r="D496" t="s">
        <v>1</v>
      </c>
      <c r="E496" s="1">
        <v>2039</v>
      </c>
      <c r="F496" s="1">
        <v>20</v>
      </c>
      <c r="G496" s="1">
        <v>40780</v>
      </c>
      <c r="H496" s="1">
        <v>36702</v>
      </c>
      <c r="I496" s="1">
        <v>16312</v>
      </c>
      <c r="J496" t="s">
        <v>0</v>
      </c>
      <c r="K496">
        <v>2019</v>
      </c>
    </row>
    <row r="497" spans="1:11" x14ac:dyDescent="0.3">
      <c r="A497" t="s">
        <v>3</v>
      </c>
      <c r="B497" t="s">
        <v>41</v>
      </c>
      <c r="C497" t="s">
        <v>11</v>
      </c>
      <c r="D497" t="s">
        <v>1</v>
      </c>
      <c r="E497" s="1">
        <v>2574</v>
      </c>
      <c r="F497" s="1">
        <v>12</v>
      </c>
      <c r="G497" s="1">
        <v>30888</v>
      </c>
      <c r="H497" s="1">
        <v>27799.200000000001</v>
      </c>
      <c r="I497" s="1">
        <v>20077.2</v>
      </c>
      <c r="J497" t="s">
        <v>22</v>
      </c>
      <c r="K497">
        <v>2019</v>
      </c>
    </row>
    <row r="498" spans="1:11" x14ac:dyDescent="0.3">
      <c r="A498" t="s">
        <v>6</v>
      </c>
      <c r="B498" t="s">
        <v>40</v>
      </c>
      <c r="C498" t="s">
        <v>11</v>
      </c>
      <c r="D498" t="s">
        <v>1</v>
      </c>
      <c r="E498" s="1">
        <v>707</v>
      </c>
      <c r="F498" s="1">
        <v>350</v>
      </c>
      <c r="G498" s="1">
        <v>247450</v>
      </c>
      <c r="H498" s="1">
        <v>222705</v>
      </c>
      <c r="I498" s="1">
        <v>38885</v>
      </c>
      <c r="J498" t="s">
        <v>21</v>
      </c>
      <c r="K498">
        <v>2019</v>
      </c>
    </row>
    <row r="499" spans="1:11" x14ac:dyDescent="0.3">
      <c r="A499" t="s">
        <v>18</v>
      </c>
      <c r="B499" t="s">
        <v>14</v>
      </c>
      <c r="C499" t="s">
        <v>11</v>
      </c>
      <c r="D499" t="s">
        <v>1</v>
      </c>
      <c r="E499" s="1">
        <v>2072</v>
      </c>
      <c r="F499" s="1">
        <v>15</v>
      </c>
      <c r="G499" s="1">
        <v>31080</v>
      </c>
      <c r="H499" s="1">
        <v>27972</v>
      </c>
      <c r="I499" s="1">
        <v>7252</v>
      </c>
      <c r="J499" t="s">
        <v>15</v>
      </c>
      <c r="K499">
        <v>2019</v>
      </c>
    </row>
    <row r="500" spans="1:11" x14ac:dyDescent="0.3">
      <c r="A500" t="s">
        <v>12</v>
      </c>
      <c r="B500" t="s">
        <v>14</v>
      </c>
      <c r="C500" t="s">
        <v>11</v>
      </c>
      <c r="D500" t="s">
        <v>1</v>
      </c>
      <c r="E500" s="1">
        <v>853</v>
      </c>
      <c r="F500" s="1">
        <v>300</v>
      </c>
      <c r="G500" s="1">
        <v>255900</v>
      </c>
      <c r="H500" s="1">
        <v>230310</v>
      </c>
      <c r="I500" s="1">
        <v>17060</v>
      </c>
      <c r="J500" t="s">
        <v>15</v>
      </c>
      <c r="K500">
        <v>2019</v>
      </c>
    </row>
    <row r="501" spans="1:11" x14ac:dyDescent="0.3">
      <c r="A501" t="s">
        <v>3</v>
      </c>
      <c r="B501" t="s">
        <v>14</v>
      </c>
      <c r="C501" t="s">
        <v>23</v>
      </c>
      <c r="D501" t="s">
        <v>1</v>
      </c>
      <c r="E501" s="1">
        <v>1198</v>
      </c>
      <c r="F501" s="1">
        <v>12</v>
      </c>
      <c r="G501" s="1">
        <v>14376</v>
      </c>
      <c r="H501" s="1">
        <v>12794.64</v>
      </c>
      <c r="I501" s="1">
        <v>9200.64</v>
      </c>
      <c r="J501" t="s">
        <v>10</v>
      </c>
      <c r="K501">
        <v>2018</v>
      </c>
    </row>
    <row r="502" spans="1:11" x14ac:dyDescent="0.3">
      <c r="A502" t="s">
        <v>6</v>
      </c>
      <c r="B502" t="s">
        <v>14</v>
      </c>
      <c r="C502" t="s">
        <v>5</v>
      </c>
      <c r="D502" t="s">
        <v>1</v>
      </c>
      <c r="E502" s="1">
        <v>2532</v>
      </c>
      <c r="F502" s="1">
        <v>7</v>
      </c>
      <c r="G502" s="1">
        <v>17724</v>
      </c>
      <c r="H502" s="1">
        <v>15774.36</v>
      </c>
      <c r="I502" s="1">
        <v>3114.3599999999997</v>
      </c>
      <c r="J502" t="s">
        <v>4</v>
      </c>
      <c r="K502">
        <v>2019</v>
      </c>
    </row>
    <row r="503" spans="1:11" x14ac:dyDescent="0.3">
      <c r="A503" t="s">
        <v>3</v>
      </c>
      <c r="B503" t="s">
        <v>14</v>
      </c>
      <c r="C503" t="s">
        <v>5</v>
      </c>
      <c r="D503" t="s">
        <v>1</v>
      </c>
      <c r="E503" s="1">
        <v>1198</v>
      </c>
      <c r="F503" s="1">
        <v>12</v>
      </c>
      <c r="G503" s="1">
        <v>14376</v>
      </c>
      <c r="H503" s="1">
        <v>12794.64</v>
      </c>
      <c r="I503" s="1">
        <v>9200.64</v>
      </c>
      <c r="J503" t="s">
        <v>10</v>
      </c>
      <c r="K503">
        <v>2018</v>
      </c>
    </row>
    <row r="504" spans="1:11" x14ac:dyDescent="0.3">
      <c r="A504" t="s">
        <v>18</v>
      </c>
      <c r="B504" t="s">
        <v>40</v>
      </c>
      <c r="C504" t="s">
        <v>20</v>
      </c>
      <c r="D504" t="s">
        <v>1</v>
      </c>
      <c r="E504" s="1">
        <v>384</v>
      </c>
      <c r="F504" s="1">
        <v>15</v>
      </c>
      <c r="G504" s="1">
        <v>5760</v>
      </c>
      <c r="H504" s="1">
        <v>5126.3999999999996</v>
      </c>
      <c r="I504" s="1">
        <v>1286.3999999999999</v>
      </c>
      <c r="J504" t="s">
        <v>24</v>
      </c>
      <c r="K504">
        <v>2019</v>
      </c>
    </row>
    <row r="505" spans="1:11" x14ac:dyDescent="0.3">
      <c r="A505" t="s">
        <v>3</v>
      </c>
      <c r="B505" t="s">
        <v>41</v>
      </c>
      <c r="C505" t="s">
        <v>20</v>
      </c>
      <c r="D505" t="s">
        <v>1</v>
      </c>
      <c r="E505" s="1">
        <v>472</v>
      </c>
      <c r="F505" s="1">
        <v>12</v>
      </c>
      <c r="G505" s="1">
        <v>5664</v>
      </c>
      <c r="H505" s="1">
        <v>5040.96</v>
      </c>
      <c r="I505" s="1">
        <v>3624.96</v>
      </c>
      <c r="J505" t="s">
        <v>10</v>
      </c>
      <c r="K505">
        <v>2019</v>
      </c>
    </row>
    <row r="506" spans="1:11" x14ac:dyDescent="0.3">
      <c r="A506" t="s">
        <v>6</v>
      </c>
      <c r="B506" t="s">
        <v>42</v>
      </c>
      <c r="C506" t="s">
        <v>2</v>
      </c>
      <c r="D506" t="s">
        <v>1</v>
      </c>
      <c r="E506" s="1">
        <v>1579</v>
      </c>
      <c r="F506" s="1">
        <v>7</v>
      </c>
      <c r="G506" s="1">
        <v>11053</v>
      </c>
      <c r="H506" s="1">
        <v>9837.17</v>
      </c>
      <c r="I506" s="1">
        <v>1942.17</v>
      </c>
      <c r="J506" t="s">
        <v>13</v>
      </c>
      <c r="K506">
        <v>2019</v>
      </c>
    </row>
    <row r="507" spans="1:11" x14ac:dyDescent="0.3">
      <c r="A507" t="s">
        <v>3</v>
      </c>
      <c r="B507" t="s">
        <v>9</v>
      </c>
      <c r="C507" t="s">
        <v>2</v>
      </c>
      <c r="D507" t="s">
        <v>1</v>
      </c>
      <c r="E507" s="1">
        <v>1005</v>
      </c>
      <c r="F507" s="1">
        <v>12</v>
      </c>
      <c r="G507" s="1">
        <v>12060</v>
      </c>
      <c r="H507" s="1">
        <v>10733.4</v>
      </c>
      <c r="I507" s="1">
        <v>7718.4</v>
      </c>
      <c r="J507" t="s">
        <v>21</v>
      </c>
      <c r="K507">
        <v>2018</v>
      </c>
    </row>
    <row r="508" spans="1:11" x14ac:dyDescent="0.3">
      <c r="A508" t="s">
        <v>18</v>
      </c>
      <c r="B508" t="s">
        <v>42</v>
      </c>
      <c r="C508" t="s">
        <v>11</v>
      </c>
      <c r="D508" t="s">
        <v>1</v>
      </c>
      <c r="E508" s="1">
        <v>3199.5</v>
      </c>
      <c r="F508" s="1">
        <v>15</v>
      </c>
      <c r="G508" s="1">
        <v>47992.5</v>
      </c>
      <c r="H508" s="1">
        <v>42713.324999999997</v>
      </c>
      <c r="I508" s="1">
        <v>10718.324999999999</v>
      </c>
      <c r="J508" t="s">
        <v>19</v>
      </c>
      <c r="K508">
        <v>2019</v>
      </c>
    </row>
    <row r="509" spans="1:11" x14ac:dyDescent="0.3">
      <c r="A509" t="s">
        <v>3</v>
      </c>
      <c r="B509" t="s">
        <v>41</v>
      </c>
      <c r="C509" t="s">
        <v>11</v>
      </c>
      <c r="D509" t="s">
        <v>1</v>
      </c>
      <c r="E509" s="1">
        <v>472</v>
      </c>
      <c r="F509" s="1">
        <v>12</v>
      </c>
      <c r="G509" s="1">
        <v>5664</v>
      </c>
      <c r="H509" s="1">
        <v>5040.96</v>
      </c>
      <c r="I509" s="1">
        <v>3624.96</v>
      </c>
      <c r="J509" t="s">
        <v>10</v>
      </c>
      <c r="K509">
        <v>2019</v>
      </c>
    </row>
    <row r="510" spans="1:11" x14ac:dyDescent="0.3">
      <c r="A510" t="s">
        <v>3</v>
      </c>
      <c r="B510" t="s">
        <v>40</v>
      </c>
      <c r="C510" t="s">
        <v>23</v>
      </c>
      <c r="D510" t="s">
        <v>1</v>
      </c>
      <c r="E510" s="1">
        <v>1937</v>
      </c>
      <c r="F510" s="1">
        <v>12</v>
      </c>
      <c r="G510" s="1">
        <v>23244</v>
      </c>
      <c r="H510" s="1">
        <v>20687.16</v>
      </c>
      <c r="I510" s="1">
        <v>14876.16</v>
      </c>
      <c r="J510" t="s">
        <v>7</v>
      </c>
      <c r="K510">
        <v>2019</v>
      </c>
    </row>
    <row r="511" spans="1:11" x14ac:dyDescent="0.3">
      <c r="A511" t="s">
        <v>6</v>
      </c>
      <c r="B511" t="s">
        <v>41</v>
      </c>
      <c r="C511" t="s">
        <v>23</v>
      </c>
      <c r="D511" t="s">
        <v>1</v>
      </c>
      <c r="E511" s="1">
        <v>792</v>
      </c>
      <c r="F511" s="1">
        <v>350</v>
      </c>
      <c r="G511" s="1">
        <v>277200</v>
      </c>
      <c r="H511" s="1">
        <v>246708</v>
      </c>
      <c r="I511" s="1">
        <v>40788</v>
      </c>
      <c r="J511" t="s">
        <v>13</v>
      </c>
      <c r="K511">
        <v>2019</v>
      </c>
    </row>
    <row r="512" spans="1:11" x14ac:dyDescent="0.3">
      <c r="A512" t="s">
        <v>12</v>
      </c>
      <c r="B512" t="s">
        <v>41</v>
      </c>
      <c r="C512" t="s">
        <v>23</v>
      </c>
      <c r="D512" t="s">
        <v>1</v>
      </c>
      <c r="E512" s="1">
        <v>2811</v>
      </c>
      <c r="F512" s="1">
        <v>300</v>
      </c>
      <c r="G512" s="1">
        <v>843300</v>
      </c>
      <c r="H512" s="1">
        <v>750537</v>
      </c>
      <c r="I512" s="1">
        <v>47787</v>
      </c>
      <c r="J512" t="s">
        <v>19</v>
      </c>
      <c r="K512">
        <v>2019</v>
      </c>
    </row>
    <row r="513" spans="1:11" x14ac:dyDescent="0.3">
      <c r="A513" t="s">
        <v>17</v>
      </c>
      <c r="B513" t="s">
        <v>14</v>
      </c>
      <c r="C513" t="s">
        <v>23</v>
      </c>
      <c r="D513" t="s">
        <v>1</v>
      </c>
      <c r="E513" s="1">
        <v>2441</v>
      </c>
      <c r="F513" s="1">
        <v>125</v>
      </c>
      <c r="G513" s="1">
        <v>305125</v>
      </c>
      <c r="H513" s="1">
        <v>271561.25</v>
      </c>
      <c r="I513" s="1">
        <v>-21358.75</v>
      </c>
      <c r="J513" t="s">
        <v>10</v>
      </c>
      <c r="K513">
        <v>2019</v>
      </c>
    </row>
    <row r="514" spans="1:11" x14ac:dyDescent="0.3">
      <c r="A514" t="s">
        <v>18</v>
      </c>
      <c r="B514" t="s">
        <v>40</v>
      </c>
      <c r="C514" t="s">
        <v>23</v>
      </c>
      <c r="D514" t="s">
        <v>1</v>
      </c>
      <c r="E514" s="1">
        <v>1560</v>
      </c>
      <c r="F514" s="1">
        <v>15</v>
      </c>
      <c r="G514" s="1">
        <v>23400</v>
      </c>
      <c r="H514" s="1">
        <v>20826</v>
      </c>
      <c r="I514" s="1">
        <v>5226</v>
      </c>
      <c r="J514" t="s">
        <v>16</v>
      </c>
      <c r="K514">
        <v>2018</v>
      </c>
    </row>
    <row r="515" spans="1:11" x14ac:dyDescent="0.3">
      <c r="A515" t="s">
        <v>6</v>
      </c>
      <c r="B515" t="s">
        <v>9</v>
      </c>
      <c r="C515" t="s">
        <v>23</v>
      </c>
      <c r="D515" t="s">
        <v>1</v>
      </c>
      <c r="E515" s="1">
        <v>2706</v>
      </c>
      <c r="F515" s="1">
        <v>7</v>
      </c>
      <c r="G515" s="1">
        <v>18942</v>
      </c>
      <c r="H515" s="1">
        <v>16858.38</v>
      </c>
      <c r="I515" s="1">
        <v>3328.380000000001</v>
      </c>
      <c r="J515" t="s">
        <v>16</v>
      </c>
      <c r="K515">
        <v>2018</v>
      </c>
    </row>
    <row r="516" spans="1:11" x14ac:dyDescent="0.3">
      <c r="A516" t="s">
        <v>6</v>
      </c>
      <c r="B516" t="s">
        <v>41</v>
      </c>
      <c r="C516" t="s">
        <v>8</v>
      </c>
      <c r="D516" t="s">
        <v>1</v>
      </c>
      <c r="E516" s="1">
        <v>766</v>
      </c>
      <c r="F516" s="1">
        <v>350</v>
      </c>
      <c r="G516" s="1">
        <v>268100</v>
      </c>
      <c r="H516" s="1">
        <v>238609</v>
      </c>
      <c r="I516" s="1">
        <v>39449</v>
      </c>
      <c r="J516" t="s">
        <v>24</v>
      </c>
      <c r="K516">
        <v>2019</v>
      </c>
    </row>
    <row r="517" spans="1:11" x14ac:dyDescent="0.3">
      <c r="A517" t="s">
        <v>6</v>
      </c>
      <c r="B517" t="s">
        <v>41</v>
      </c>
      <c r="C517" t="s">
        <v>8</v>
      </c>
      <c r="D517" t="s">
        <v>1</v>
      </c>
      <c r="E517" s="1">
        <v>2992</v>
      </c>
      <c r="F517" s="1">
        <v>20</v>
      </c>
      <c r="G517" s="1">
        <v>59840</v>
      </c>
      <c r="H517" s="1">
        <v>53257.599999999999</v>
      </c>
      <c r="I517" s="1">
        <v>23337.599999999999</v>
      </c>
      <c r="J517" t="s">
        <v>10</v>
      </c>
      <c r="K517">
        <v>2018</v>
      </c>
    </row>
    <row r="518" spans="1:11" x14ac:dyDescent="0.3">
      <c r="A518" t="s">
        <v>18</v>
      </c>
      <c r="B518" t="s">
        <v>9</v>
      </c>
      <c r="C518" t="s">
        <v>8</v>
      </c>
      <c r="D518" t="s">
        <v>1</v>
      </c>
      <c r="E518" s="1">
        <v>2157</v>
      </c>
      <c r="F518" s="1">
        <v>15</v>
      </c>
      <c r="G518" s="1">
        <v>32355</v>
      </c>
      <c r="H518" s="1">
        <v>28795.95</v>
      </c>
      <c r="I518" s="1">
        <v>7225.9500000000007</v>
      </c>
      <c r="J518" t="s">
        <v>15</v>
      </c>
      <c r="K518">
        <v>2019</v>
      </c>
    </row>
    <row r="519" spans="1:11" x14ac:dyDescent="0.3">
      <c r="A519" t="s">
        <v>12</v>
      </c>
      <c r="B519" t="s">
        <v>40</v>
      </c>
      <c r="C519" t="s">
        <v>5</v>
      </c>
      <c r="D519" t="s">
        <v>1</v>
      </c>
      <c r="E519" s="1">
        <v>873</v>
      </c>
      <c r="F519" s="1">
        <v>300</v>
      </c>
      <c r="G519" s="1">
        <v>261900</v>
      </c>
      <c r="H519" s="1">
        <v>233091</v>
      </c>
      <c r="I519" s="1">
        <v>14841</v>
      </c>
      <c r="J519" t="s">
        <v>24</v>
      </c>
      <c r="K519">
        <v>2019</v>
      </c>
    </row>
    <row r="520" spans="1:11" x14ac:dyDescent="0.3">
      <c r="A520" t="s">
        <v>6</v>
      </c>
      <c r="B520" t="s">
        <v>9</v>
      </c>
      <c r="C520" t="s">
        <v>5</v>
      </c>
      <c r="D520" t="s">
        <v>1</v>
      </c>
      <c r="E520" s="1">
        <v>1122</v>
      </c>
      <c r="F520" s="1">
        <v>20</v>
      </c>
      <c r="G520" s="1">
        <v>22440</v>
      </c>
      <c r="H520" s="1">
        <v>19971.599999999999</v>
      </c>
      <c r="I520" s="1">
        <v>8751.5999999999985</v>
      </c>
      <c r="J520" t="s">
        <v>13</v>
      </c>
      <c r="K520">
        <v>2019</v>
      </c>
    </row>
    <row r="521" spans="1:11" x14ac:dyDescent="0.3">
      <c r="A521" t="s">
        <v>6</v>
      </c>
      <c r="B521" t="s">
        <v>40</v>
      </c>
      <c r="C521" t="s">
        <v>5</v>
      </c>
      <c r="D521" t="s">
        <v>1</v>
      </c>
      <c r="E521" s="1">
        <v>2104.5</v>
      </c>
      <c r="F521" s="1">
        <v>350</v>
      </c>
      <c r="G521" s="1">
        <v>736575</v>
      </c>
      <c r="H521" s="1">
        <v>655551.75</v>
      </c>
      <c r="I521" s="1">
        <v>108381.75</v>
      </c>
      <c r="J521" t="s">
        <v>19</v>
      </c>
      <c r="K521">
        <v>2019</v>
      </c>
    </row>
    <row r="522" spans="1:11" x14ac:dyDescent="0.3">
      <c r="A522" t="s">
        <v>3</v>
      </c>
      <c r="B522" t="s">
        <v>40</v>
      </c>
      <c r="C522" t="s">
        <v>5</v>
      </c>
      <c r="D522" t="s">
        <v>1</v>
      </c>
      <c r="E522" s="1">
        <v>4026</v>
      </c>
      <c r="F522" s="1">
        <v>12</v>
      </c>
      <c r="G522" s="1">
        <v>48312</v>
      </c>
      <c r="H522" s="1">
        <v>42997.68</v>
      </c>
      <c r="I522" s="1">
        <v>30919.68</v>
      </c>
      <c r="J522" t="s">
        <v>19</v>
      </c>
      <c r="K522">
        <v>2019</v>
      </c>
    </row>
    <row r="523" spans="1:11" x14ac:dyDescent="0.3">
      <c r="A523" t="s">
        <v>3</v>
      </c>
      <c r="B523" t="s">
        <v>14</v>
      </c>
      <c r="C523" t="s">
        <v>5</v>
      </c>
      <c r="D523" t="s">
        <v>1</v>
      </c>
      <c r="E523" s="1">
        <v>2425.5</v>
      </c>
      <c r="F523" s="1">
        <v>12</v>
      </c>
      <c r="G523" s="1">
        <v>29106</v>
      </c>
      <c r="H523" s="1">
        <v>25904.340000000004</v>
      </c>
      <c r="I523" s="1">
        <v>18627.840000000004</v>
      </c>
      <c r="J523" t="s">
        <v>19</v>
      </c>
      <c r="K523">
        <v>2019</v>
      </c>
    </row>
    <row r="524" spans="1:11" x14ac:dyDescent="0.3">
      <c r="A524" t="s">
        <v>6</v>
      </c>
      <c r="B524" t="s">
        <v>40</v>
      </c>
      <c r="C524" t="s">
        <v>5</v>
      </c>
      <c r="D524" t="s">
        <v>1</v>
      </c>
      <c r="E524" s="1">
        <v>2394</v>
      </c>
      <c r="F524" s="1">
        <v>20</v>
      </c>
      <c r="G524" s="1">
        <v>47880</v>
      </c>
      <c r="H524" s="1">
        <v>42613.2</v>
      </c>
      <c r="I524" s="1">
        <v>18673.199999999997</v>
      </c>
      <c r="J524" t="s">
        <v>22</v>
      </c>
      <c r="K524">
        <v>2019</v>
      </c>
    </row>
    <row r="525" spans="1:11" x14ac:dyDescent="0.3">
      <c r="A525" t="s">
        <v>18</v>
      </c>
      <c r="B525" t="s">
        <v>9</v>
      </c>
      <c r="C525" t="s">
        <v>5</v>
      </c>
      <c r="D525" t="s">
        <v>1</v>
      </c>
      <c r="E525" s="1">
        <v>1984</v>
      </c>
      <c r="F525" s="1">
        <v>15</v>
      </c>
      <c r="G525" s="1">
        <v>29760</v>
      </c>
      <c r="H525" s="1">
        <v>26486.400000000001</v>
      </c>
      <c r="I525" s="1">
        <v>6646.4000000000015</v>
      </c>
      <c r="J525" t="s">
        <v>22</v>
      </c>
      <c r="K525">
        <v>2019</v>
      </c>
    </row>
    <row r="526" spans="1:11" x14ac:dyDescent="0.3">
      <c r="A526" t="s">
        <v>17</v>
      </c>
      <c r="B526" t="s">
        <v>14</v>
      </c>
      <c r="C526" t="s">
        <v>5</v>
      </c>
      <c r="D526" t="s">
        <v>1</v>
      </c>
      <c r="E526" s="1">
        <v>2441</v>
      </c>
      <c r="F526" s="1">
        <v>125</v>
      </c>
      <c r="G526" s="1">
        <v>305125</v>
      </c>
      <c r="H526" s="1">
        <v>271561.25</v>
      </c>
      <c r="I526" s="1">
        <v>-21358.75</v>
      </c>
      <c r="J526" t="s">
        <v>10</v>
      </c>
      <c r="K526">
        <v>2019</v>
      </c>
    </row>
    <row r="527" spans="1:11" x14ac:dyDescent="0.3">
      <c r="A527" t="s">
        <v>6</v>
      </c>
      <c r="B527" t="s">
        <v>41</v>
      </c>
      <c r="C527" t="s">
        <v>5</v>
      </c>
      <c r="D527" t="s">
        <v>1</v>
      </c>
      <c r="E527" s="1">
        <v>2992</v>
      </c>
      <c r="F527" s="1">
        <v>20</v>
      </c>
      <c r="G527" s="1">
        <v>59840</v>
      </c>
      <c r="H527" s="1">
        <v>53257.599999999999</v>
      </c>
      <c r="I527" s="1">
        <v>23337.599999999999</v>
      </c>
      <c r="J527" t="s">
        <v>10</v>
      </c>
      <c r="K527">
        <v>2018</v>
      </c>
    </row>
    <row r="528" spans="1:11" x14ac:dyDescent="0.3">
      <c r="A528" t="s">
        <v>12</v>
      </c>
      <c r="B528" t="s">
        <v>40</v>
      </c>
      <c r="C528" t="s">
        <v>5</v>
      </c>
      <c r="D528" t="s">
        <v>1</v>
      </c>
      <c r="E528" s="1">
        <v>1366</v>
      </c>
      <c r="F528" s="1">
        <v>300</v>
      </c>
      <c r="G528" s="1">
        <v>409800</v>
      </c>
      <c r="H528" s="1">
        <v>364722</v>
      </c>
      <c r="I528" s="1">
        <v>23222</v>
      </c>
      <c r="J528" t="s">
        <v>16</v>
      </c>
      <c r="K528">
        <v>2019</v>
      </c>
    </row>
    <row r="529" spans="1:11" x14ac:dyDescent="0.3">
      <c r="A529" t="s">
        <v>6</v>
      </c>
      <c r="B529" t="s">
        <v>14</v>
      </c>
      <c r="C529" t="s">
        <v>20</v>
      </c>
      <c r="D529" t="s">
        <v>1</v>
      </c>
      <c r="E529" s="1">
        <v>2805</v>
      </c>
      <c r="F529" s="1">
        <v>20</v>
      </c>
      <c r="G529" s="1">
        <v>56100</v>
      </c>
      <c r="H529" s="1">
        <v>49929</v>
      </c>
      <c r="I529" s="1">
        <v>21879</v>
      </c>
      <c r="J529" t="s">
        <v>21</v>
      </c>
      <c r="K529">
        <v>2018</v>
      </c>
    </row>
    <row r="530" spans="1:11" x14ac:dyDescent="0.3">
      <c r="A530" t="s">
        <v>18</v>
      </c>
      <c r="B530" t="s">
        <v>9</v>
      </c>
      <c r="C530" t="s">
        <v>20</v>
      </c>
      <c r="D530" t="s">
        <v>1</v>
      </c>
      <c r="E530" s="1">
        <v>655</v>
      </c>
      <c r="F530" s="1">
        <v>15</v>
      </c>
      <c r="G530" s="1">
        <v>9825</v>
      </c>
      <c r="H530" s="1">
        <v>8744.25</v>
      </c>
      <c r="I530" s="1">
        <v>2194.25</v>
      </c>
      <c r="J530" t="s">
        <v>21</v>
      </c>
      <c r="K530">
        <v>2018</v>
      </c>
    </row>
    <row r="531" spans="1:11" x14ac:dyDescent="0.3">
      <c r="A531" t="s">
        <v>6</v>
      </c>
      <c r="B531" t="s">
        <v>9</v>
      </c>
      <c r="C531" t="s">
        <v>20</v>
      </c>
      <c r="D531" t="s">
        <v>1</v>
      </c>
      <c r="E531" s="1">
        <v>344</v>
      </c>
      <c r="F531" s="1">
        <v>350</v>
      </c>
      <c r="G531" s="1">
        <v>120400</v>
      </c>
      <c r="H531" s="1">
        <v>107156</v>
      </c>
      <c r="I531" s="1">
        <v>17716</v>
      </c>
      <c r="J531" t="s">
        <v>10</v>
      </c>
      <c r="K531">
        <v>2018</v>
      </c>
    </row>
    <row r="532" spans="1:11" x14ac:dyDescent="0.3">
      <c r="A532" t="s">
        <v>6</v>
      </c>
      <c r="B532" t="s">
        <v>40</v>
      </c>
      <c r="C532" t="s">
        <v>20</v>
      </c>
      <c r="D532" t="s">
        <v>1</v>
      </c>
      <c r="E532" s="1">
        <v>1808</v>
      </c>
      <c r="F532" s="1">
        <v>7</v>
      </c>
      <c r="G532" s="1">
        <v>12656</v>
      </c>
      <c r="H532" s="1">
        <v>11263.84</v>
      </c>
      <c r="I532" s="1">
        <v>2223.84</v>
      </c>
      <c r="J532" t="s">
        <v>16</v>
      </c>
      <c r="K532">
        <v>2019</v>
      </c>
    </row>
    <row r="533" spans="1:11" x14ac:dyDescent="0.3">
      <c r="A533" t="s">
        <v>3</v>
      </c>
      <c r="B533" t="s">
        <v>14</v>
      </c>
      <c r="C533" t="s">
        <v>2</v>
      </c>
      <c r="D533" t="s">
        <v>1</v>
      </c>
      <c r="E533" s="1">
        <v>1734</v>
      </c>
      <c r="F533" s="1">
        <v>12</v>
      </c>
      <c r="G533" s="1">
        <v>20808</v>
      </c>
      <c r="H533" s="1">
        <v>18519.12</v>
      </c>
      <c r="I533" s="1">
        <v>13317.119999999999</v>
      </c>
      <c r="J533" t="s">
        <v>24</v>
      </c>
      <c r="K533">
        <v>2019</v>
      </c>
    </row>
    <row r="534" spans="1:11" x14ac:dyDescent="0.3">
      <c r="A534" t="s">
        <v>17</v>
      </c>
      <c r="B534" t="s">
        <v>9</v>
      </c>
      <c r="C534" t="s">
        <v>2</v>
      </c>
      <c r="D534" t="s">
        <v>1</v>
      </c>
      <c r="E534" s="1">
        <v>554</v>
      </c>
      <c r="F534" s="1">
        <v>125</v>
      </c>
      <c r="G534" s="1">
        <v>69250</v>
      </c>
      <c r="H534" s="1">
        <v>61632.5</v>
      </c>
      <c r="I534" s="1">
        <v>-4847.5</v>
      </c>
      <c r="J534" t="s">
        <v>24</v>
      </c>
      <c r="K534">
        <v>2019</v>
      </c>
    </row>
    <row r="535" spans="1:11" x14ac:dyDescent="0.3">
      <c r="A535" t="s">
        <v>6</v>
      </c>
      <c r="B535" t="s">
        <v>40</v>
      </c>
      <c r="C535" t="s">
        <v>2</v>
      </c>
      <c r="D535" t="s">
        <v>1</v>
      </c>
      <c r="E535" s="1">
        <v>2935</v>
      </c>
      <c r="F535" s="1">
        <v>20</v>
      </c>
      <c r="G535" s="1">
        <v>58700</v>
      </c>
      <c r="H535" s="1">
        <v>52243</v>
      </c>
      <c r="I535" s="1">
        <v>22893</v>
      </c>
      <c r="J535" t="s">
        <v>16</v>
      </c>
      <c r="K535">
        <v>2018</v>
      </c>
    </row>
    <row r="536" spans="1:11" x14ac:dyDescent="0.3">
      <c r="A536" t="s">
        <v>17</v>
      </c>
      <c r="B536" t="s">
        <v>41</v>
      </c>
      <c r="C536" t="s">
        <v>11</v>
      </c>
      <c r="D536" t="s">
        <v>1</v>
      </c>
      <c r="E536" s="1">
        <v>3165</v>
      </c>
      <c r="F536" s="1">
        <v>125</v>
      </c>
      <c r="G536" s="1">
        <v>395625</v>
      </c>
      <c r="H536" s="1">
        <v>352106.25</v>
      </c>
      <c r="I536" s="1">
        <v>-27693.75</v>
      </c>
      <c r="J536" t="s">
        <v>24</v>
      </c>
      <c r="K536">
        <v>2019</v>
      </c>
    </row>
    <row r="537" spans="1:11" x14ac:dyDescent="0.3">
      <c r="A537" t="s">
        <v>6</v>
      </c>
      <c r="B537" t="s">
        <v>9</v>
      </c>
      <c r="C537" t="s">
        <v>11</v>
      </c>
      <c r="D537" t="s">
        <v>1</v>
      </c>
      <c r="E537" s="1">
        <v>2629</v>
      </c>
      <c r="F537" s="1">
        <v>20</v>
      </c>
      <c r="G537" s="1">
        <v>52580</v>
      </c>
      <c r="H537" s="1">
        <v>46796.2</v>
      </c>
      <c r="I537" s="1">
        <v>20506.199999999997</v>
      </c>
      <c r="J537" t="s">
        <v>24</v>
      </c>
      <c r="K537">
        <v>2019</v>
      </c>
    </row>
    <row r="538" spans="1:11" x14ac:dyDescent="0.3">
      <c r="A538" t="s">
        <v>17</v>
      </c>
      <c r="B538" t="s">
        <v>14</v>
      </c>
      <c r="C538" t="s">
        <v>11</v>
      </c>
      <c r="D538" t="s">
        <v>1</v>
      </c>
      <c r="E538" s="1">
        <v>1433</v>
      </c>
      <c r="F538" s="1">
        <v>125</v>
      </c>
      <c r="G538" s="1">
        <v>179125</v>
      </c>
      <c r="H538" s="1">
        <v>159421.25</v>
      </c>
      <c r="I538" s="1">
        <v>-12538.75</v>
      </c>
      <c r="J538" t="s">
        <v>0</v>
      </c>
      <c r="K538">
        <v>2019</v>
      </c>
    </row>
    <row r="539" spans="1:11" x14ac:dyDescent="0.3">
      <c r="A539" t="s">
        <v>17</v>
      </c>
      <c r="B539" t="s">
        <v>9</v>
      </c>
      <c r="C539" t="s">
        <v>11</v>
      </c>
      <c r="D539" t="s">
        <v>1</v>
      </c>
      <c r="E539" s="1">
        <v>947</v>
      </c>
      <c r="F539" s="1">
        <v>125</v>
      </c>
      <c r="G539" s="1">
        <v>118375</v>
      </c>
      <c r="H539" s="1">
        <v>105353.75</v>
      </c>
      <c r="I539" s="1">
        <v>-8286.25</v>
      </c>
      <c r="J539" t="s">
        <v>21</v>
      </c>
      <c r="K539">
        <v>2018</v>
      </c>
    </row>
    <row r="540" spans="1:11" x14ac:dyDescent="0.3">
      <c r="A540" t="s">
        <v>6</v>
      </c>
      <c r="B540" t="s">
        <v>9</v>
      </c>
      <c r="C540" t="s">
        <v>11</v>
      </c>
      <c r="D540" t="s">
        <v>1</v>
      </c>
      <c r="E540" s="1">
        <v>344</v>
      </c>
      <c r="F540" s="1">
        <v>350</v>
      </c>
      <c r="G540" s="1">
        <v>120400</v>
      </c>
      <c r="H540" s="1">
        <v>107156</v>
      </c>
      <c r="I540" s="1">
        <v>17716</v>
      </c>
      <c r="J540" t="s">
        <v>10</v>
      </c>
      <c r="K540">
        <v>2018</v>
      </c>
    </row>
    <row r="541" spans="1:11" x14ac:dyDescent="0.3">
      <c r="A541" t="s">
        <v>18</v>
      </c>
      <c r="B541" t="s">
        <v>9</v>
      </c>
      <c r="C541" t="s">
        <v>11</v>
      </c>
      <c r="D541" t="s">
        <v>1</v>
      </c>
      <c r="E541" s="1">
        <v>2157</v>
      </c>
      <c r="F541" s="1">
        <v>15</v>
      </c>
      <c r="G541" s="1">
        <v>32355</v>
      </c>
      <c r="H541" s="1">
        <v>28795.95</v>
      </c>
      <c r="I541" s="1">
        <v>7225.9500000000007</v>
      </c>
      <c r="J541" t="s">
        <v>15</v>
      </c>
      <c r="K541">
        <v>2019</v>
      </c>
    </row>
    <row r="542" spans="1:11" x14ac:dyDescent="0.3">
      <c r="A542" t="s">
        <v>6</v>
      </c>
      <c r="B542" t="s">
        <v>42</v>
      </c>
      <c r="C542" t="s">
        <v>5</v>
      </c>
      <c r="D542" t="s">
        <v>1</v>
      </c>
      <c r="E542" s="1">
        <v>380</v>
      </c>
      <c r="F542" s="1">
        <v>7</v>
      </c>
      <c r="G542" s="1">
        <v>2660</v>
      </c>
      <c r="H542" s="1">
        <v>2367.4</v>
      </c>
      <c r="I542" s="1">
        <v>467.40000000000009</v>
      </c>
      <c r="J542" t="s">
        <v>21</v>
      </c>
      <c r="K542">
        <v>2018</v>
      </c>
    </row>
    <row r="543" spans="1:11" x14ac:dyDescent="0.3">
      <c r="A543" t="s">
        <v>6</v>
      </c>
      <c r="B543" t="s">
        <v>9</v>
      </c>
      <c r="C543" t="s">
        <v>23</v>
      </c>
      <c r="D543" t="s">
        <v>1</v>
      </c>
      <c r="E543" s="1">
        <v>886</v>
      </c>
      <c r="F543" s="1">
        <v>350</v>
      </c>
      <c r="G543" s="1">
        <v>310100</v>
      </c>
      <c r="H543" s="1">
        <v>272888</v>
      </c>
      <c r="I543" s="1">
        <v>42528</v>
      </c>
      <c r="J543" t="s">
        <v>25</v>
      </c>
      <c r="K543">
        <v>2019</v>
      </c>
    </row>
    <row r="544" spans="1:11" x14ac:dyDescent="0.3">
      <c r="A544" t="s">
        <v>17</v>
      </c>
      <c r="B544" t="s">
        <v>40</v>
      </c>
      <c r="C544" t="s">
        <v>23</v>
      </c>
      <c r="D544" t="s">
        <v>1</v>
      </c>
      <c r="E544" s="1">
        <v>2416</v>
      </c>
      <c r="F544" s="1">
        <v>125</v>
      </c>
      <c r="G544" s="1">
        <v>302000</v>
      </c>
      <c r="H544" s="1">
        <v>265760</v>
      </c>
      <c r="I544" s="1">
        <v>-24160</v>
      </c>
      <c r="J544" t="s">
        <v>21</v>
      </c>
      <c r="K544">
        <v>2018</v>
      </c>
    </row>
    <row r="545" spans="1:11" x14ac:dyDescent="0.3">
      <c r="A545" t="s">
        <v>17</v>
      </c>
      <c r="B545" t="s">
        <v>9</v>
      </c>
      <c r="C545" t="s">
        <v>23</v>
      </c>
      <c r="D545" t="s">
        <v>1</v>
      </c>
      <c r="E545" s="1">
        <v>2156</v>
      </c>
      <c r="F545" s="1">
        <v>125</v>
      </c>
      <c r="G545" s="1">
        <v>269500</v>
      </c>
      <c r="H545" s="1">
        <v>237160</v>
      </c>
      <c r="I545" s="1">
        <v>-21560</v>
      </c>
      <c r="J545" t="s">
        <v>10</v>
      </c>
      <c r="K545">
        <v>2019</v>
      </c>
    </row>
    <row r="546" spans="1:11" x14ac:dyDescent="0.3">
      <c r="A546" t="s">
        <v>18</v>
      </c>
      <c r="B546" t="s">
        <v>40</v>
      </c>
      <c r="C546" t="s">
        <v>23</v>
      </c>
      <c r="D546" t="s">
        <v>1</v>
      </c>
      <c r="E546" s="1">
        <v>2689</v>
      </c>
      <c r="F546" s="1">
        <v>15</v>
      </c>
      <c r="G546" s="1">
        <v>40335</v>
      </c>
      <c r="H546" s="1">
        <v>35494.800000000003</v>
      </c>
      <c r="I546" s="1">
        <v>8604.8000000000029</v>
      </c>
      <c r="J546" t="s">
        <v>16</v>
      </c>
      <c r="K546">
        <v>2019</v>
      </c>
    </row>
    <row r="547" spans="1:11" x14ac:dyDescent="0.3">
      <c r="A547" t="s">
        <v>18</v>
      </c>
      <c r="B547" t="s">
        <v>42</v>
      </c>
      <c r="C547" t="s">
        <v>8</v>
      </c>
      <c r="D547" t="s">
        <v>1</v>
      </c>
      <c r="E547" s="1">
        <v>677</v>
      </c>
      <c r="F547" s="1">
        <v>15</v>
      </c>
      <c r="G547" s="1">
        <v>10155</v>
      </c>
      <c r="H547" s="1">
        <v>8936.4</v>
      </c>
      <c r="I547" s="1">
        <v>2166.3999999999996</v>
      </c>
      <c r="J547" t="s">
        <v>13</v>
      </c>
      <c r="K547">
        <v>2019</v>
      </c>
    </row>
    <row r="548" spans="1:11" x14ac:dyDescent="0.3">
      <c r="A548" t="s">
        <v>12</v>
      </c>
      <c r="B548" t="s">
        <v>14</v>
      </c>
      <c r="C548" t="s">
        <v>8</v>
      </c>
      <c r="D548" t="s">
        <v>1</v>
      </c>
      <c r="E548" s="1">
        <v>1773</v>
      </c>
      <c r="F548" s="1">
        <v>300</v>
      </c>
      <c r="G548" s="1">
        <v>531900</v>
      </c>
      <c r="H548" s="1">
        <v>468072</v>
      </c>
      <c r="I548" s="1">
        <v>24822</v>
      </c>
      <c r="J548" t="s">
        <v>4</v>
      </c>
      <c r="K548">
        <v>2019</v>
      </c>
    </row>
    <row r="549" spans="1:11" x14ac:dyDescent="0.3">
      <c r="A549" t="s">
        <v>6</v>
      </c>
      <c r="B549" t="s">
        <v>9</v>
      </c>
      <c r="C549" t="s">
        <v>8</v>
      </c>
      <c r="D549" t="s">
        <v>1</v>
      </c>
      <c r="E549" s="1">
        <v>2420</v>
      </c>
      <c r="F549" s="1">
        <v>7</v>
      </c>
      <c r="G549" s="1">
        <v>16940</v>
      </c>
      <c r="H549" s="1">
        <v>14907.2</v>
      </c>
      <c r="I549" s="1">
        <v>2807.2000000000007</v>
      </c>
      <c r="J549" t="s">
        <v>21</v>
      </c>
      <c r="K549">
        <v>2019</v>
      </c>
    </row>
    <row r="550" spans="1:11" x14ac:dyDescent="0.3">
      <c r="A550" t="s">
        <v>6</v>
      </c>
      <c r="B550" t="s">
        <v>40</v>
      </c>
      <c r="C550" t="s">
        <v>8</v>
      </c>
      <c r="D550" t="s">
        <v>1</v>
      </c>
      <c r="E550" s="1">
        <v>2734</v>
      </c>
      <c r="F550" s="1">
        <v>7</v>
      </c>
      <c r="G550" s="1">
        <v>19138</v>
      </c>
      <c r="H550" s="1">
        <v>16841.439999999999</v>
      </c>
      <c r="I550" s="1">
        <v>3171.4399999999987</v>
      </c>
      <c r="J550" t="s">
        <v>10</v>
      </c>
      <c r="K550">
        <v>2019</v>
      </c>
    </row>
    <row r="551" spans="1:11" x14ac:dyDescent="0.3">
      <c r="A551" t="s">
        <v>6</v>
      </c>
      <c r="B551" t="s">
        <v>9</v>
      </c>
      <c r="C551" t="s">
        <v>8</v>
      </c>
      <c r="D551" t="s">
        <v>1</v>
      </c>
      <c r="E551" s="1">
        <v>1715</v>
      </c>
      <c r="F551" s="1">
        <v>20</v>
      </c>
      <c r="G551" s="1">
        <v>34300</v>
      </c>
      <c r="H551" s="1">
        <v>30184</v>
      </c>
      <c r="I551" s="1">
        <v>13034</v>
      </c>
      <c r="J551" t="s">
        <v>10</v>
      </c>
      <c r="K551">
        <v>2018</v>
      </c>
    </row>
    <row r="552" spans="1:11" x14ac:dyDescent="0.3">
      <c r="A552" t="s">
        <v>12</v>
      </c>
      <c r="B552" t="s">
        <v>14</v>
      </c>
      <c r="C552" t="s">
        <v>8</v>
      </c>
      <c r="D552" t="s">
        <v>1</v>
      </c>
      <c r="E552" s="1">
        <v>1186</v>
      </c>
      <c r="F552" s="1">
        <v>300</v>
      </c>
      <c r="G552" s="1">
        <v>355800</v>
      </c>
      <c r="H552" s="1">
        <v>313104</v>
      </c>
      <c r="I552" s="1">
        <v>16604</v>
      </c>
      <c r="J552" t="s">
        <v>15</v>
      </c>
      <c r="K552">
        <v>2018</v>
      </c>
    </row>
    <row r="553" spans="1:11" x14ac:dyDescent="0.3">
      <c r="A553" t="s">
        <v>12</v>
      </c>
      <c r="B553" t="s">
        <v>42</v>
      </c>
      <c r="C553" t="s">
        <v>5</v>
      </c>
      <c r="D553" t="s">
        <v>1</v>
      </c>
      <c r="E553" s="1">
        <v>3495</v>
      </c>
      <c r="F553" s="1">
        <v>300</v>
      </c>
      <c r="G553" s="1">
        <v>1048500</v>
      </c>
      <c r="H553" s="1">
        <v>922680</v>
      </c>
      <c r="I553" s="1">
        <v>48930</v>
      </c>
      <c r="J553" t="s">
        <v>24</v>
      </c>
      <c r="K553">
        <v>2019</v>
      </c>
    </row>
    <row r="554" spans="1:11" x14ac:dyDescent="0.3">
      <c r="A554" t="s">
        <v>6</v>
      </c>
      <c r="B554" t="s">
        <v>9</v>
      </c>
      <c r="C554" t="s">
        <v>5</v>
      </c>
      <c r="D554" t="s">
        <v>1</v>
      </c>
      <c r="E554" s="1">
        <v>886</v>
      </c>
      <c r="F554" s="1">
        <v>350</v>
      </c>
      <c r="G554" s="1">
        <v>310100</v>
      </c>
      <c r="H554" s="1">
        <v>272888</v>
      </c>
      <c r="I554" s="1">
        <v>42528</v>
      </c>
      <c r="J554" t="s">
        <v>25</v>
      </c>
      <c r="K554">
        <v>2019</v>
      </c>
    </row>
    <row r="555" spans="1:11" x14ac:dyDescent="0.3">
      <c r="A555" t="s">
        <v>17</v>
      </c>
      <c r="B555" t="s">
        <v>9</v>
      </c>
      <c r="C555" t="s">
        <v>5</v>
      </c>
      <c r="D555" t="s">
        <v>1</v>
      </c>
      <c r="E555" s="1">
        <v>2156</v>
      </c>
      <c r="F555" s="1">
        <v>125</v>
      </c>
      <c r="G555" s="1">
        <v>269500</v>
      </c>
      <c r="H555" s="1">
        <v>237160</v>
      </c>
      <c r="I555" s="1">
        <v>-21560</v>
      </c>
      <c r="J555" t="s">
        <v>10</v>
      </c>
      <c r="K555">
        <v>2019</v>
      </c>
    </row>
    <row r="556" spans="1:11" x14ac:dyDescent="0.3">
      <c r="A556" t="s">
        <v>6</v>
      </c>
      <c r="B556" t="s">
        <v>9</v>
      </c>
      <c r="C556" t="s">
        <v>5</v>
      </c>
      <c r="D556" t="s">
        <v>1</v>
      </c>
      <c r="E556" s="1">
        <v>905</v>
      </c>
      <c r="F556" s="1">
        <v>20</v>
      </c>
      <c r="G556" s="1">
        <v>18100</v>
      </c>
      <c r="H556" s="1">
        <v>15928</v>
      </c>
      <c r="I556" s="1">
        <v>6878</v>
      </c>
      <c r="J556" t="s">
        <v>10</v>
      </c>
      <c r="K556">
        <v>2019</v>
      </c>
    </row>
    <row r="557" spans="1:11" x14ac:dyDescent="0.3">
      <c r="A557" t="s">
        <v>6</v>
      </c>
      <c r="B557" t="s">
        <v>9</v>
      </c>
      <c r="C557" t="s">
        <v>5</v>
      </c>
      <c r="D557" t="s">
        <v>1</v>
      </c>
      <c r="E557" s="1">
        <v>1715</v>
      </c>
      <c r="F557" s="1">
        <v>20</v>
      </c>
      <c r="G557" s="1">
        <v>34300</v>
      </c>
      <c r="H557" s="1">
        <v>30184</v>
      </c>
      <c r="I557" s="1">
        <v>13034</v>
      </c>
      <c r="J557" t="s">
        <v>10</v>
      </c>
      <c r="K557">
        <v>2018</v>
      </c>
    </row>
    <row r="558" spans="1:11" x14ac:dyDescent="0.3">
      <c r="A558" t="s">
        <v>6</v>
      </c>
      <c r="B558" t="s">
        <v>14</v>
      </c>
      <c r="C558" t="s">
        <v>5</v>
      </c>
      <c r="D558" t="s">
        <v>1</v>
      </c>
      <c r="E558" s="1">
        <v>1594</v>
      </c>
      <c r="F558" s="1">
        <v>350</v>
      </c>
      <c r="G558" s="1">
        <v>557900</v>
      </c>
      <c r="H558" s="1">
        <v>490952</v>
      </c>
      <c r="I558" s="1">
        <v>76512</v>
      </c>
      <c r="J558" t="s">
        <v>16</v>
      </c>
      <c r="K558">
        <v>2019</v>
      </c>
    </row>
    <row r="559" spans="1:11" x14ac:dyDescent="0.3">
      <c r="A559" t="s">
        <v>12</v>
      </c>
      <c r="B559" t="s">
        <v>41</v>
      </c>
      <c r="C559" t="s">
        <v>5</v>
      </c>
      <c r="D559" t="s">
        <v>1</v>
      </c>
      <c r="E559" s="1">
        <v>1359</v>
      </c>
      <c r="F559" s="1">
        <v>300</v>
      </c>
      <c r="G559" s="1">
        <v>407700</v>
      </c>
      <c r="H559" s="1">
        <v>358776</v>
      </c>
      <c r="I559" s="1">
        <v>19026</v>
      </c>
      <c r="J559" t="s">
        <v>16</v>
      </c>
      <c r="K559">
        <v>2019</v>
      </c>
    </row>
    <row r="560" spans="1:11" x14ac:dyDescent="0.3">
      <c r="A560" t="s">
        <v>12</v>
      </c>
      <c r="B560" t="s">
        <v>9</v>
      </c>
      <c r="C560" t="s">
        <v>5</v>
      </c>
      <c r="D560" t="s">
        <v>1</v>
      </c>
      <c r="E560" s="1">
        <v>2150</v>
      </c>
      <c r="F560" s="1">
        <v>300</v>
      </c>
      <c r="G560" s="1">
        <v>645000</v>
      </c>
      <c r="H560" s="1">
        <v>567600</v>
      </c>
      <c r="I560" s="1">
        <v>30100</v>
      </c>
      <c r="J560" t="s">
        <v>16</v>
      </c>
      <c r="K560">
        <v>2019</v>
      </c>
    </row>
    <row r="561" spans="1:11" x14ac:dyDescent="0.3">
      <c r="A561" t="s">
        <v>6</v>
      </c>
      <c r="B561" t="s">
        <v>9</v>
      </c>
      <c r="C561" t="s">
        <v>5</v>
      </c>
      <c r="D561" t="s">
        <v>1</v>
      </c>
      <c r="E561" s="1">
        <v>1197</v>
      </c>
      <c r="F561" s="1">
        <v>350</v>
      </c>
      <c r="G561" s="1">
        <v>418950</v>
      </c>
      <c r="H561" s="1">
        <v>368676</v>
      </c>
      <c r="I561" s="1">
        <v>57456</v>
      </c>
      <c r="J561" t="s">
        <v>16</v>
      </c>
      <c r="K561">
        <v>2019</v>
      </c>
    </row>
    <row r="562" spans="1:11" x14ac:dyDescent="0.3">
      <c r="A562" t="s">
        <v>18</v>
      </c>
      <c r="B562" t="s">
        <v>9</v>
      </c>
      <c r="C562" t="s">
        <v>5</v>
      </c>
      <c r="D562" t="s">
        <v>1</v>
      </c>
      <c r="E562" s="1">
        <v>380</v>
      </c>
      <c r="F562" s="1">
        <v>15</v>
      </c>
      <c r="G562" s="1">
        <v>5700</v>
      </c>
      <c r="H562" s="1">
        <v>5016</v>
      </c>
      <c r="I562" s="1">
        <v>1216</v>
      </c>
      <c r="J562" t="s">
        <v>15</v>
      </c>
      <c r="K562">
        <v>2018</v>
      </c>
    </row>
    <row r="563" spans="1:11" x14ac:dyDescent="0.3">
      <c r="A563" t="s">
        <v>6</v>
      </c>
      <c r="B563" t="s">
        <v>9</v>
      </c>
      <c r="C563" t="s">
        <v>5</v>
      </c>
      <c r="D563" t="s">
        <v>1</v>
      </c>
      <c r="E563" s="1">
        <v>1233</v>
      </c>
      <c r="F563" s="1">
        <v>20</v>
      </c>
      <c r="G563" s="1">
        <v>24660</v>
      </c>
      <c r="H563" s="1">
        <v>21700.799999999999</v>
      </c>
      <c r="I563" s="1">
        <v>9370.7999999999993</v>
      </c>
      <c r="J563" t="s">
        <v>15</v>
      </c>
      <c r="K563">
        <v>2019</v>
      </c>
    </row>
    <row r="564" spans="1:11" x14ac:dyDescent="0.3">
      <c r="A564" t="s">
        <v>6</v>
      </c>
      <c r="B564" t="s">
        <v>9</v>
      </c>
      <c r="C564" t="s">
        <v>20</v>
      </c>
      <c r="D564" t="s">
        <v>1</v>
      </c>
      <c r="E564" s="1">
        <v>1395</v>
      </c>
      <c r="F564" s="1">
        <v>350</v>
      </c>
      <c r="G564" s="1">
        <v>488250</v>
      </c>
      <c r="H564" s="1">
        <v>429660</v>
      </c>
      <c r="I564" s="1">
        <v>66960</v>
      </c>
      <c r="J564" t="s">
        <v>19</v>
      </c>
      <c r="K564">
        <v>2019</v>
      </c>
    </row>
    <row r="565" spans="1:11" x14ac:dyDescent="0.3">
      <c r="A565" t="s">
        <v>6</v>
      </c>
      <c r="B565" t="s">
        <v>42</v>
      </c>
      <c r="C565" t="s">
        <v>20</v>
      </c>
      <c r="D565" t="s">
        <v>1</v>
      </c>
      <c r="E565" s="1">
        <v>986</v>
      </c>
      <c r="F565" s="1">
        <v>350</v>
      </c>
      <c r="G565" s="1">
        <v>345100</v>
      </c>
      <c r="H565" s="1">
        <v>303688</v>
      </c>
      <c r="I565" s="1">
        <v>47328</v>
      </c>
      <c r="J565" t="s">
        <v>10</v>
      </c>
      <c r="K565">
        <v>2019</v>
      </c>
    </row>
    <row r="566" spans="1:11" x14ac:dyDescent="0.3">
      <c r="A566" t="s">
        <v>6</v>
      </c>
      <c r="B566" t="s">
        <v>9</v>
      </c>
      <c r="C566" t="s">
        <v>20</v>
      </c>
      <c r="D566" t="s">
        <v>1</v>
      </c>
      <c r="E566" s="1">
        <v>905</v>
      </c>
      <c r="F566" s="1">
        <v>20</v>
      </c>
      <c r="G566" s="1">
        <v>18100</v>
      </c>
      <c r="H566" s="1">
        <v>15928</v>
      </c>
      <c r="I566" s="1">
        <v>6878</v>
      </c>
      <c r="J566" t="s">
        <v>10</v>
      </c>
      <c r="K566">
        <v>2019</v>
      </c>
    </row>
    <row r="567" spans="1:11" x14ac:dyDescent="0.3">
      <c r="A567" t="s">
        <v>3</v>
      </c>
      <c r="B567" t="s">
        <v>40</v>
      </c>
      <c r="C567" t="s">
        <v>2</v>
      </c>
      <c r="D567" t="s">
        <v>1</v>
      </c>
      <c r="E567" s="1">
        <v>2109</v>
      </c>
      <c r="F567" s="1">
        <v>12</v>
      </c>
      <c r="G567" s="1">
        <v>25308</v>
      </c>
      <c r="H567" s="1">
        <v>22271.040000000001</v>
      </c>
      <c r="I567" s="1">
        <v>15944.04</v>
      </c>
      <c r="J567" t="s">
        <v>0</v>
      </c>
      <c r="K567">
        <v>2019</v>
      </c>
    </row>
    <row r="568" spans="1:11" x14ac:dyDescent="0.3">
      <c r="A568" t="s">
        <v>18</v>
      </c>
      <c r="B568" t="s">
        <v>14</v>
      </c>
      <c r="C568" t="s">
        <v>2</v>
      </c>
      <c r="D568" t="s">
        <v>1</v>
      </c>
      <c r="E568" s="1">
        <v>3874.5</v>
      </c>
      <c r="F568" s="1">
        <v>15</v>
      </c>
      <c r="G568" s="1">
        <v>58117.5</v>
      </c>
      <c r="H568" s="1">
        <v>51143.399999999994</v>
      </c>
      <c r="I568" s="1">
        <v>12398.399999999998</v>
      </c>
      <c r="J568" t="s">
        <v>19</v>
      </c>
      <c r="K568">
        <v>2019</v>
      </c>
    </row>
    <row r="569" spans="1:11" x14ac:dyDescent="0.3">
      <c r="A569" t="s">
        <v>6</v>
      </c>
      <c r="B569" t="s">
        <v>40</v>
      </c>
      <c r="C569" t="s">
        <v>2</v>
      </c>
      <c r="D569" t="s">
        <v>1</v>
      </c>
      <c r="E569" s="1">
        <v>623</v>
      </c>
      <c r="F569" s="1">
        <v>350</v>
      </c>
      <c r="G569" s="1">
        <v>218050</v>
      </c>
      <c r="H569" s="1">
        <v>191884</v>
      </c>
      <c r="I569" s="1">
        <v>29904</v>
      </c>
      <c r="J569" t="s">
        <v>21</v>
      </c>
      <c r="K569">
        <v>2018</v>
      </c>
    </row>
    <row r="570" spans="1:11" x14ac:dyDescent="0.3">
      <c r="A570" t="s">
        <v>6</v>
      </c>
      <c r="B570" t="s">
        <v>42</v>
      </c>
      <c r="C570" t="s">
        <v>2</v>
      </c>
      <c r="D570" t="s">
        <v>1</v>
      </c>
      <c r="E570" s="1">
        <v>986</v>
      </c>
      <c r="F570" s="1">
        <v>350</v>
      </c>
      <c r="G570" s="1">
        <v>345100</v>
      </c>
      <c r="H570" s="1">
        <v>303688</v>
      </c>
      <c r="I570" s="1">
        <v>47328</v>
      </c>
      <c r="J570" t="s">
        <v>10</v>
      </c>
      <c r="K570">
        <v>2019</v>
      </c>
    </row>
    <row r="571" spans="1:11" x14ac:dyDescent="0.3">
      <c r="A571" t="s">
        <v>17</v>
      </c>
      <c r="B571" t="s">
        <v>42</v>
      </c>
      <c r="C571" t="s">
        <v>2</v>
      </c>
      <c r="D571" t="s">
        <v>1</v>
      </c>
      <c r="E571" s="1">
        <v>2387</v>
      </c>
      <c r="F571" s="1">
        <v>125</v>
      </c>
      <c r="G571" s="1">
        <v>298375</v>
      </c>
      <c r="H571" s="1">
        <v>262570</v>
      </c>
      <c r="I571" s="1">
        <v>-23870</v>
      </c>
      <c r="J571" t="s">
        <v>16</v>
      </c>
      <c r="K571">
        <v>2019</v>
      </c>
    </row>
    <row r="572" spans="1:11" x14ac:dyDescent="0.3">
      <c r="A572" t="s">
        <v>6</v>
      </c>
      <c r="B572" t="s">
        <v>9</v>
      </c>
      <c r="C572" t="s">
        <v>2</v>
      </c>
      <c r="D572" t="s">
        <v>1</v>
      </c>
      <c r="E572" s="1">
        <v>1233</v>
      </c>
      <c r="F572" s="1">
        <v>20</v>
      </c>
      <c r="G572" s="1">
        <v>24660</v>
      </c>
      <c r="H572" s="1">
        <v>21700.799999999999</v>
      </c>
      <c r="I572" s="1">
        <v>9370.7999999999993</v>
      </c>
      <c r="J572" t="s">
        <v>15</v>
      </c>
      <c r="K572">
        <v>2019</v>
      </c>
    </row>
    <row r="573" spans="1:11" x14ac:dyDescent="0.3">
      <c r="A573" t="s">
        <v>6</v>
      </c>
      <c r="B573" t="s">
        <v>42</v>
      </c>
      <c r="C573" t="s">
        <v>11</v>
      </c>
      <c r="D573" t="s">
        <v>1</v>
      </c>
      <c r="E573" s="1">
        <v>270</v>
      </c>
      <c r="F573" s="1">
        <v>350</v>
      </c>
      <c r="G573" s="1">
        <v>94500</v>
      </c>
      <c r="H573" s="1">
        <v>83160</v>
      </c>
      <c r="I573" s="1">
        <v>12960</v>
      </c>
      <c r="J573" t="s">
        <v>7</v>
      </c>
      <c r="K573">
        <v>2019</v>
      </c>
    </row>
    <row r="574" spans="1:11" x14ac:dyDescent="0.3">
      <c r="A574" t="s">
        <v>6</v>
      </c>
      <c r="B574" t="s">
        <v>14</v>
      </c>
      <c r="C574" t="s">
        <v>11</v>
      </c>
      <c r="D574" t="s">
        <v>1</v>
      </c>
      <c r="E574" s="1">
        <v>3421.5</v>
      </c>
      <c r="F574" s="1">
        <v>7</v>
      </c>
      <c r="G574" s="1">
        <v>23950.5</v>
      </c>
      <c r="H574" s="1">
        <v>21076.44</v>
      </c>
      <c r="I574" s="1">
        <v>3968.9399999999987</v>
      </c>
      <c r="J574" t="s">
        <v>19</v>
      </c>
      <c r="K574">
        <v>2019</v>
      </c>
    </row>
    <row r="575" spans="1:11" x14ac:dyDescent="0.3">
      <c r="A575" t="s">
        <v>6</v>
      </c>
      <c r="B575" t="s">
        <v>40</v>
      </c>
      <c r="C575" t="s">
        <v>11</v>
      </c>
      <c r="D575" t="s">
        <v>1</v>
      </c>
      <c r="E575" s="1">
        <v>2734</v>
      </c>
      <c r="F575" s="1">
        <v>7</v>
      </c>
      <c r="G575" s="1">
        <v>19138</v>
      </c>
      <c r="H575" s="1">
        <v>16841.439999999999</v>
      </c>
      <c r="I575" s="1">
        <v>3171.4399999999987</v>
      </c>
      <c r="J575" t="s">
        <v>10</v>
      </c>
      <c r="K575">
        <v>2019</v>
      </c>
    </row>
    <row r="576" spans="1:11" x14ac:dyDescent="0.3">
      <c r="A576" t="s">
        <v>18</v>
      </c>
      <c r="B576" t="s">
        <v>42</v>
      </c>
      <c r="C576" t="s">
        <v>11</v>
      </c>
      <c r="D576" t="s">
        <v>1</v>
      </c>
      <c r="E576" s="1">
        <v>2548</v>
      </c>
      <c r="F576" s="1">
        <v>15</v>
      </c>
      <c r="G576" s="1">
        <v>38220</v>
      </c>
      <c r="H576" s="1">
        <v>33633.599999999999</v>
      </c>
      <c r="I576" s="1">
        <v>8153.5999999999985</v>
      </c>
      <c r="J576" t="s">
        <v>16</v>
      </c>
      <c r="K576">
        <v>2018</v>
      </c>
    </row>
    <row r="577" spans="1:11" x14ac:dyDescent="0.3">
      <c r="A577" t="s">
        <v>6</v>
      </c>
      <c r="B577" t="s">
        <v>14</v>
      </c>
      <c r="C577" t="s">
        <v>23</v>
      </c>
      <c r="D577" t="s">
        <v>1</v>
      </c>
      <c r="E577" s="1">
        <v>2521.5</v>
      </c>
      <c r="F577" s="1">
        <v>20</v>
      </c>
      <c r="G577" s="1">
        <v>50430</v>
      </c>
      <c r="H577" s="1">
        <v>44378.399999999994</v>
      </c>
      <c r="I577" s="1">
        <v>19163.399999999998</v>
      </c>
      <c r="J577" t="s">
        <v>24</v>
      </c>
      <c r="K577">
        <v>2019</v>
      </c>
    </row>
    <row r="578" spans="1:11" x14ac:dyDescent="0.3">
      <c r="A578" t="s">
        <v>3</v>
      </c>
      <c r="B578" t="s">
        <v>9</v>
      </c>
      <c r="C578" t="s">
        <v>8</v>
      </c>
      <c r="D578" t="s">
        <v>1</v>
      </c>
      <c r="E578" s="1">
        <v>2661</v>
      </c>
      <c r="F578" s="1">
        <v>12</v>
      </c>
      <c r="G578" s="1">
        <v>31932</v>
      </c>
      <c r="H578" s="1">
        <v>28100.16</v>
      </c>
      <c r="I578" s="1">
        <v>20117.16</v>
      </c>
      <c r="J578" t="s">
        <v>0</v>
      </c>
      <c r="K578">
        <v>2019</v>
      </c>
    </row>
    <row r="579" spans="1:11" x14ac:dyDescent="0.3">
      <c r="A579" t="s">
        <v>6</v>
      </c>
      <c r="B579" t="s">
        <v>41</v>
      </c>
      <c r="C579" t="s">
        <v>5</v>
      </c>
      <c r="D579" t="s">
        <v>1</v>
      </c>
      <c r="E579" s="1">
        <v>1531</v>
      </c>
      <c r="F579" s="1">
        <v>20</v>
      </c>
      <c r="G579" s="1">
        <v>30620</v>
      </c>
      <c r="H579" s="1">
        <v>26945.599999999999</v>
      </c>
      <c r="I579" s="1">
        <v>11635.599999999999</v>
      </c>
      <c r="J579" t="s">
        <v>15</v>
      </c>
      <c r="K579">
        <v>2019</v>
      </c>
    </row>
    <row r="580" spans="1:11" x14ac:dyDescent="0.3">
      <c r="A580" t="s">
        <v>6</v>
      </c>
      <c r="B580" t="s">
        <v>14</v>
      </c>
      <c r="C580" t="s">
        <v>2</v>
      </c>
      <c r="D580" t="s">
        <v>1</v>
      </c>
      <c r="E580" s="1">
        <v>1491</v>
      </c>
      <c r="F580" s="1">
        <v>7</v>
      </c>
      <c r="G580" s="1">
        <v>10437</v>
      </c>
      <c r="H580" s="1">
        <v>9184.56</v>
      </c>
      <c r="I580" s="1">
        <v>1729.5599999999995</v>
      </c>
      <c r="J580" t="s">
        <v>13</v>
      </c>
      <c r="K580">
        <v>2019</v>
      </c>
    </row>
    <row r="581" spans="1:11" x14ac:dyDescent="0.3">
      <c r="A581" t="s">
        <v>6</v>
      </c>
      <c r="B581" t="s">
        <v>41</v>
      </c>
      <c r="C581" t="s">
        <v>2</v>
      </c>
      <c r="D581" t="s">
        <v>1</v>
      </c>
      <c r="E581" s="1">
        <v>1531</v>
      </c>
      <c r="F581" s="1">
        <v>20</v>
      </c>
      <c r="G581" s="1">
        <v>30620</v>
      </c>
      <c r="H581" s="1">
        <v>26945.599999999999</v>
      </c>
      <c r="I581" s="1">
        <v>11635.599999999999</v>
      </c>
      <c r="J581" t="s">
        <v>15</v>
      </c>
      <c r="K581">
        <v>2019</v>
      </c>
    </row>
    <row r="582" spans="1:11" x14ac:dyDescent="0.3">
      <c r="A582" t="s">
        <v>3</v>
      </c>
      <c r="B582" t="s">
        <v>40</v>
      </c>
      <c r="C582" t="s">
        <v>11</v>
      </c>
      <c r="D582" t="s">
        <v>1</v>
      </c>
      <c r="E582" s="1">
        <v>2761</v>
      </c>
      <c r="F582" s="1">
        <v>12</v>
      </c>
      <c r="G582" s="1">
        <v>33132</v>
      </c>
      <c r="H582" s="1">
        <v>29156.16</v>
      </c>
      <c r="I582" s="1">
        <v>20873.16</v>
      </c>
      <c r="J582" t="s">
        <v>21</v>
      </c>
      <c r="K582">
        <v>2018</v>
      </c>
    </row>
    <row r="583" spans="1:11" x14ac:dyDescent="0.3">
      <c r="A583" t="s">
        <v>18</v>
      </c>
      <c r="B583" t="s">
        <v>42</v>
      </c>
      <c r="C583" t="s">
        <v>23</v>
      </c>
      <c r="D583" t="s">
        <v>1</v>
      </c>
      <c r="E583" s="1">
        <v>2567</v>
      </c>
      <c r="F583" s="1">
        <v>15</v>
      </c>
      <c r="G583" s="1">
        <v>38505</v>
      </c>
      <c r="H583" s="1">
        <v>33499.35</v>
      </c>
      <c r="I583" s="1">
        <v>7829.3499999999985</v>
      </c>
      <c r="J583" t="s">
        <v>25</v>
      </c>
      <c r="K583">
        <v>2019</v>
      </c>
    </row>
    <row r="584" spans="1:11" x14ac:dyDescent="0.3">
      <c r="A584" t="s">
        <v>18</v>
      </c>
      <c r="B584" t="s">
        <v>42</v>
      </c>
      <c r="C584" t="s">
        <v>2</v>
      </c>
      <c r="D584" t="s">
        <v>1</v>
      </c>
      <c r="E584" s="1">
        <v>2567</v>
      </c>
      <c r="F584" s="1">
        <v>15</v>
      </c>
      <c r="G584" s="1">
        <v>38505</v>
      </c>
      <c r="H584" s="1">
        <v>33499.35</v>
      </c>
      <c r="I584" s="1">
        <v>7829.3499999999985</v>
      </c>
      <c r="J584" t="s">
        <v>25</v>
      </c>
      <c r="K584">
        <v>2019</v>
      </c>
    </row>
    <row r="585" spans="1:11" x14ac:dyDescent="0.3">
      <c r="A585" t="s">
        <v>6</v>
      </c>
      <c r="B585" t="s">
        <v>40</v>
      </c>
      <c r="C585" t="s">
        <v>23</v>
      </c>
      <c r="D585" t="s">
        <v>1</v>
      </c>
      <c r="E585" s="1">
        <v>923</v>
      </c>
      <c r="F585" s="1">
        <v>350</v>
      </c>
      <c r="G585" s="1">
        <v>323050</v>
      </c>
      <c r="H585" s="1">
        <v>281053.5</v>
      </c>
      <c r="I585" s="1">
        <v>41073.5</v>
      </c>
      <c r="J585" t="s">
        <v>13</v>
      </c>
      <c r="K585">
        <v>2019</v>
      </c>
    </row>
    <row r="586" spans="1:11" x14ac:dyDescent="0.3">
      <c r="A586" t="s">
        <v>6</v>
      </c>
      <c r="B586" t="s">
        <v>14</v>
      </c>
      <c r="C586" t="s">
        <v>23</v>
      </c>
      <c r="D586" t="s">
        <v>1</v>
      </c>
      <c r="E586" s="1">
        <v>1790</v>
      </c>
      <c r="F586" s="1">
        <v>350</v>
      </c>
      <c r="G586" s="1">
        <v>626500</v>
      </c>
      <c r="H586" s="1">
        <v>545055</v>
      </c>
      <c r="I586" s="1">
        <v>79655</v>
      </c>
      <c r="J586" t="s">
        <v>13</v>
      </c>
      <c r="K586">
        <v>2019</v>
      </c>
    </row>
    <row r="587" spans="1:11" x14ac:dyDescent="0.3">
      <c r="A587" t="s">
        <v>6</v>
      </c>
      <c r="B587" t="s">
        <v>41</v>
      </c>
      <c r="C587" t="s">
        <v>23</v>
      </c>
      <c r="D587" t="s">
        <v>1</v>
      </c>
      <c r="E587" s="1">
        <v>442</v>
      </c>
      <c r="F587" s="1">
        <v>20</v>
      </c>
      <c r="G587" s="1">
        <v>8840</v>
      </c>
      <c r="H587" s="1">
        <v>7690.8</v>
      </c>
      <c r="I587" s="1">
        <v>3270.8</v>
      </c>
      <c r="J587" t="s">
        <v>21</v>
      </c>
      <c r="K587">
        <v>2018</v>
      </c>
    </row>
    <row r="588" spans="1:11" x14ac:dyDescent="0.3">
      <c r="A588" t="s">
        <v>6</v>
      </c>
      <c r="B588" t="s">
        <v>42</v>
      </c>
      <c r="C588" t="s">
        <v>8</v>
      </c>
      <c r="D588" t="s">
        <v>1</v>
      </c>
      <c r="E588" s="1">
        <v>982.5</v>
      </c>
      <c r="F588" s="1">
        <v>350</v>
      </c>
      <c r="G588" s="1">
        <v>343875</v>
      </c>
      <c r="H588" s="1">
        <v>299171.25</v>
      </c>
      <c r="I588" s="1">
        <v>43721.25</v>
      </c>
      <c r="J588" t="s">
        <v>24</v>
      </c>
      <c r="K588">
        <v>2019</v>
      </c>
    </row>
    <row r="589" spans="1:11" x14ac:dyDescent="0.3">
      <c r="A589" t="s">
        <v>6</v>
      </c>
      <c r="B589" t="s">
        <v>42</v>
      </c>
      <c r="C589" t="s">
        <v>8</v>
      </c>
      <c r="D589" t="s">
        <v>1</v>
      </c>
      <c r="E589" s="1">
        <v>1298</v>
      </c>
      <c r="F589" s="1">
        <v>7</v>
      </c>
      <c r="G589" s="1">
        <v>9086</v>
      </c>
      <c r="H589" s="1">
        <v>7904.82</v>
      </c>
      <c r="I589" s="1">
        <v>1414.8199999999997</v>
      </c>
      <c r="J589" t="s">
        <v>7</v>
      </c>
      <c r="K589">
        <v>2019</v>
      </c>
    </row>
    <row r="590" spans="1:11" x14ac:dyDescent="0.3">
      <c r="A590" t="s">
        <v>3</v>
      </c>
      <c r="B590" t="s">
        <v>9</v>
      </c>
      <c r="C590" t="s">
        <v>8</v>
      </c>
      <c r="D590" t="s">
        <v>1</v>
      </c>
      <c r="E590" s="1">
        <v>604</v>
      </c>
      <c r="F590" s="1">
        <v>12</v>
      </c>
      <c r="G590" s="1">
        <v>7248</v>
      </c>
      <c r="H590" s="1">
        <v>6305.76</v>
      </c>
      <c r="I590" s="1">
        <v>4493.76</v>
      </c>
      <c r="J590" t="s">
        <v>25</v>
      </c>
      <c r="K590">
        <v>2019</v>
      </c>
    </row>
    <row r="591" spans="1:11" x14ac:dyDescent="0.3">
      <c r="A591" t="s">
        <v>6</v>
      </c>
      <c r="B591" t="s">
        <v>9</v>
      </c>
      <c r="C591" t="s">
        <v>8</v>
      </c>
      <c r="D591" t="s">
        <v>1</v>
      </c>
      <c r="E591" s="1">
        <v>2255</v>
      </c>
      <c r="F591" s="1">
        <v>20</v>
      </c>
      <c r="G591" s="1">
        <v>45100</v>
      </c>
      <c r="H591" s="1">
        <v>39237</v>
      </c>
      <c r="I591" s="1">
        <v>16687</v>
      </c>
      <c r="J591" t="s">
        <v>19</v>
      </c>
      <c r="K591">
        <v>2019</v>
      </c>
    </row>
    <row r="592" spans="1:11" x14ac:dyDescent="0.3">
      <c r="A592" t="s">
        <v>6</v>
      </c>
      <c r="B592" t="s">
        <v>40</v>
      </c>
      <c r="C592" t="s">
        <v>8</v>
      </c>
      <c r="D592" t="s">
        <v>1</v>
      </c>
      <c r="E592" s="1">
        <v>1249</v>
      </c>
      <c r="F592" s="1">
        <v>20</v>
      </c>
      <c r="G592" s="1">
        <v>24980</v>
      </c>
      <c r="H592" s="1">
        <v>21732.6</v>
      </c>
      <c r="I592" s="1">
        <v>9242.5999999999985</v>
      </c>
      <c r="J592" t="s">
        <v>10</v>
      </c>
      <c r="K592">
        <v>2019</v>
      </c>
    </row>
    <row r="593" spans="1:11" x14ac:dyDescent="0.3">
      <c r="A593" t="s">
        <v>6</v>
      </c>
      <c r="B593" t="s">
        <v>42</v>
      </c>
      <c r="C593" t="s">
        <v>5</v>
      </c>
      <c r="D593" t="s">
        <v>1</v>
      </c>
      <c r="E593" s="1">
        <v>1438.5</v>
      </c>
      <c r="F593" s="1">
        <v>7</v>
      </c>
      <c r="G593" s="1">
        <v>10069.5</v>
      </c>
      <c r="H593" s="1">
        <v>8760.4650000000001</v>
      </c>
      <c r="I593" s="1">
        <v>1567.9649999999992</v>
      </c>
      <c r="J593" t="s">
        <v>24</v>
      </c>
      <c r="K593">
        <v>2019</v>
      </c>
    </row>
    <row r="594" spans="1:11" x14ac:dyDescent="0.3">
      <c r="A594" t="s">
        <v>12</v>
      </c>
      <c r="B594" t="s">
        <v>41</v>
      </c>
      <c r="C594" t="s">
        <v>5</v>
      </c>
      <c r="D594" t="s">
        <v>1</v>
      </c>
      <c r="E594" s="1">
        <v>807</v>
      </c>
      <c r="F594" s="1">
        <v>300</v>
      </c>
      <c r="G594" s="1">
        <v>242100</v>
      </c>
      <c r="H594" s="1">
        <v>210627</v>
      </c>
      <c r="I594" s="1">
        <v>8877</v>
      </c>
      <c r="J594" t="s">
        <v>24</v>
      </c>
      <c r="K594">
        <v>2019</v>
      </c>
    </row>
    <row r="595" spans="1:11" x14ac:dyDescent="0.3">
      <c r="A595" t="s">
        <v>6</v>
      </c>
      <c r="B595" t="s">
        <v>42</v>
      </c>
      <c r="C595" t="s">
        <v>5</v>
      </c>
      <c r="D595" t="s">
        <v>1</v>
      </c>
      <c r="E595" s="1">
        <v>2641</v>
      </c>
      <c r="F595" s="1">
        <v>20</v>
      </c>
      <c r="G595" s="1">
        <v>52820</v>
      </c>
      <c r="H595" s="1">
        <v>45953.4</v>
      </c>
      <c r="I595" s="1">
        <v>19543.400000000001</v>
      </c>
      <c r="J595" t="s">
        <v>7</v>
      </c>
      <c r="K595">
        <v>2019</v>
      </c>
    </row>
    <row r="596" spans="1:11" x14ac:dyDescent="0.3">
      <c r="A596" t="s">
        <v>6</v>
      </c>
      <c r="B596" t="s">
        <v>41</v>
      </c>
      <c r="C596" t="s">
        <v>5</v>
      </c>
      <c r="D596" t="s">
        <v>1</v>
      </c>
      <c r="E596" s="1">
        <v>2708</v>
      </c>
      <c r="F596" s="1">
        <v>20</v>
      </c>
      <c r="G596" s="1">
        <v>54160</v>
      </c>
      <c r="H596" s="1">
        <v>47119.199999999997</v>
      </c>
      <c r="I596" s="1">
        <v>20039.199999999997</v>
      </c>
      <c r="J596" t="s">
        <v>7</v>
      </c>
      <c r="K596">
        <v>2019</v>
      </c>
    </row>
    <row r="597" spans="1:11" x14ac:dyDescent="0.3">
      <c r="A597" t="s">
        <v>6</v>
      </c>
      <c r="B597" t="s">
        <v>40</v>
      </c>
      <c r="C597" t="s">
        <v>5</v>
      </c>
      <c r="D597" t="s">
        <v>1</v>
      </c>
      <c r="E597" s="1">
        <v>2632</v>
      </c>
      <c r="F597" s="1">
        <v>350</v>
      </c>
      <c r="G597" s="1">
        <v>921200</v>
      </c>
      <c r="H597" s="1">
        <v>801444</v>
      </c>
      <c r="I597" s="1">
        <v>117124</v>
      </c>
      <c r="J597" t="s">
        <v>25</v>
      </c>
      <c r="K597">
        <v>2019</v>
      </c>
    </row>
    <row r="598" spans="1:11" x14ac:dyDescent="0.3">
      <c r="A598" t="s">
        <v>17</v>
      </c>
      <c r="B598" t="s">
        <v>40</v>
      </c>
      <c r="C598" t="s">
        <v>5</v>
      </c>
      <c r="D598" t="s">
        <v>1</v>
      </c>
      <c r="E598" s="1">
        <v>1583</v>
      </c>
      <c r="F598" s="1">
        <v>125</v>
      </c>
      <c r="G598" s="1">
        <v>197875</v>
      </c>
      <c r="H598" s="1">
        <v>172151.25</v>
      </c>
      <c r="I598" s="1">
        <v>-17808.75</v>
      </c>
      <c r="J598" t="s">
        <v>25</v>
      </c>
      <c r="K598">
        <v>2019</v>
      </c>
    </row>
    <row r="599" spans="1:11" x14ac:dyDescent="0.3">
      <c r="A599" t="s">
        <v>3</v>
      </c>
      <c r="B599" t="s">
        <v>9</v>
      </c>
      <c r="C599" t="s">
        <v>5</v>
      </c>
      <c r="D599" t="s">
        <v>1</v>
      </c>
      <c r="E599" s="1">
        <v>571</v>
      </c>
      <c r="F599" s="1">
        <v>12</v>
      </c>
      <c r="G599" s="1">
        <v>6852</v>
      </c>
      <c r="H599" s="1">
        <v>5961.24</v>
      </c>
      <c r="I599" s="1">
        <v>4248.24</v>
      </c>
      <c r="J599" t="s">
        <v>19</v>
      </c>
      <c r="K599">
        <v>2019</v>
      </c>
    </row>
    <row r="600" spans="1:11" x14ac:dyDescent="0.3">
      <c r="A600" t="s">
        <v>6</v>
      </c>
      <c r="B600" t="s">
        <v>14</v>
      </c>
      <c r="C600" t="s">
        <v>5</v>
      </c>
      <c r="D600" t="s">
        <v>1</v>
      </c>
      <c r="E600" s="1">
        <v>2696</v>
      </c>
      <c r="F600" s="1">
        <v>7</v>
      </c>
      <c r="G600" s="1">
        <v>18872</v>
      </c>
      <c r="H600" s="1">
        <v>16418.64</v>
      </c>
      <c r="I600" s="1">
        <v>2938.6399999999994</v>
      </c>
      <c r="J600" t="s">
        <v>22</v>
      </c>
      <c r="K600">
        <v>2019</v>
      </c>
    </row>
    <row r="601" spans="1:11" x14ac:dyDescent="0.3">
      <c r="A601" t="s">
        <v>18</v>
      </c>
      <c r="B601" t="s">
        <v>40</v>
      </c>
      <c r="C601" t="s">
        <v>5</v>
      </c>
      <c r="D601" t="s">
        <v>1</v>
      </c>
      <c r="E601" s="1">
        <v>1565</v>
      </c>
      <c r="F601" s="1">
        <v>15</v>
      </c>
      <c r="G601" s="1">
        <v>23475</v>
      </c>
      <c r="H601" s="1">
        <v>20423.25</v>
      </c>
      <c r="I601" s="1">
        <v>4773.25</v>
      </c>
      <c r="J601" t="s">
        <v>10</v>
      </c>
      <c r="K601">
        <v>2019</v>
      </c>
    </row>
    <row r="602" spans="1:11" x14ac:dyDescent="0.3">
      <c r="A602" t="s">
        <v>6</v>
      </c>
      <c r="B602" t="s">
        <v>40</v>
      </c>
      <c r="C602" t="s">
        <v>5</v>
      </c>
      <c r="D602" t="s">
        <v>1</v>
      </c>
      <c r="E602" s="1">
        <v>1249</v>
      </c>
      <c r="F602" s="1">
        <v>20</v>
      </c>
      <c r="G602" s="1">
        <v>24980</v>
      </c>
      <c r="H602" s="1">
        <v>21732.6</v>
      </c>
      <c r="I602" s="1">
        <v>9242.5999999999985</v>
      </c>
      <c r="J602" t="s">
        <v>10</v>
      </c>
      <c r="K602">
        <v>2019</v>
      </c>
    </row>
    <row r="603" spans="1:11" x14ac:dyDescent="0.3">
      <c r="A603" t="s">
        <v>6</v>
      </c>
      <c r="B603" t="s">
        <v>41</v>
      </c>
      <c r="C603" t="s">
        <v>5</v>
      </c>
      <c r="D603" t="s">
        <v>1</v>
      </c>
      <c r="E603" s="1">
        <v>357</v>
      </c>
      <c r="F603" s="1">
        <v>350</v>
      </c>
      <c r="G603" s="1">
        <v>124950</v>
      </c>
      <c r="H603" s="1">
        <v>108706.5</v>
      </c>
      <c r="I603" s="1">
        <v>15886.5</v>
      </c>
      <c r="J603" t="s">
        <v>16</v>
      </c>
      <c r="K603">
        <v>2019</v>
      </c>
    </row>
    <row r="604" spans="1:11" x14ac:dyDescent="0.3">
      <c r="A604" t="s">
        <v>3</v>
      </c>
      <c r="B604" t="s">
        <v>41</v>
      </c>
      <c r="C604" t="s">
        <v>5</v>
      </c>
      <c r="D604" t="s">
        <v>1</v>
      </c>
      <c r="E604" s="1">
        <v>1013</v>
      </c>
      <c r="F604" s="1">
        <v>12</v>
      </c>
      <c r="G604" s="1">
        <v>12156</v>
      </c>
      <c r="H604" s="1">
        <v>10575.72</v>
      </c>
      <c r="I604" s="1">
        <v>7536.7199999999993</v>
      </c>
      <c r="J604" t="s">
        <v>15</v>
      </c>
      <c r="K604">
        <v>2019</v>
      </c>
    </row>
    <row r="605" spans="1:11" x14ac:dyDescent="0.3">
      <c r="A605" t="s">
        <v>18</v>
      </c>
      <c r="B605" t="s">
        <v>14</v>
      </c>
      <c r="C605" t="s">
        <v>20</v>
      </c>
      <c r="D605" t="s">
        <v>1</v>
      </c>
      <c r="E605" s="1">
        <v>3997.5</v>
      </c>
      <c r="F605" s="1">
        <v>15</v>
      </c>
      <c r="G605" s="1">
        <v>59962.5</v>
      </c>
      <c r="H605" s="1">
        <v>52167.375</v>
      </c>
      <c r="I605" s="1">
        <v>12192.375</v>
      </c>
      <c r="J605" t="s">
        <v>24</v>
      </c>
      <c r="K605">
        <v>2019</v>
      </c>
    </row>
    <row r="606" spans="1:11" x14ac:dyDescent="0.3">
      <c r="A606" t="s">
        <v>6</v>
      </c>
      <c r="B606" t="s">
        <v>40</v>
      </c>
      <c r="C606" t="s">
        <v>20</v>
      </c>
      <c r="D606" t="s">
        <v>1</v>
      </c>
      <c r="E606" s="1">
        <v>2632</v>
      </c>
      <c r="F606" s="1">
        <v>350</v>
      </c>
      <c r="G606" s="1">
        <v>921200</v>
      </c>
      <c r="H606" s="1">
        <v>801444</v>
      </c>
      <c r="I606" s="1">
        <v>117124</v>
      </c>
      <c r="J606" t="s">
        <v>25</v>
      </c>
      <c r="K606">
        <v>2019</v>
      </c>
    </row>
    <row r="607" spans="1:11" x14ac:dyDescent="0.3">
      <c r="A607" t="s">
        <v>6</v>
      </c>
      <c r="B607" t="s">
        <v>14</v>
      </c>
      <c r="C607" t="s">
        <v>20</v>
      </c>
      <c r="D607" t="s">
        <v>1</v>
      </c>
      <c r="E607" s="1">
        <v>1190</v>
      </c>
      <c r="F607" s="1">
        <v>7</v>
      </c>
      <c r="G607" s="1">
        <v>8330</v>
      </c>
      <c r="H607" s="1">
        <v>7247.1</v>
      </c>
      <c r="I607" s="1">
        <v>1297.1000000000004</v>
      </c>
      <c r="J607" t="s">
        <v>25</v>
      </c>
      <c r="K607">
        <v>2019</v>
      </c>
    </row>
    <row r="608" spans="1:11" x14ac:dyDescent="0.3">
      <c r="A608" t="s">
        <v>3</v>
      </c>
      <c r="B608" t="s">
        <v>9</v>
      </c>
      <c r="C608" t="s">
        <v>20</v>
      </c>
      <c r="D608" t="s">
        <v>1</v>
      </c>
      <c r="E608" s="1">
        <v>604</v>
      </c>
      <c r="F608" s="1">
        <v>12</v>
      </c>
      <c r="G608" s="1">
        <v>7248</v>
      </c>
      <c r="H608" s="1">
        <v>6305.76</v>
      </c>
      <c r="I608" s="1">
        <v>4493.76</v>
      </c>
      <c r="J608" t="s">
        <v>25</v>
      </c>
      <c r="K608">
        <v>2019</v>
      </c>
    </row>
    <row r="609" spans="1:11" x14ac:dyDescent="0.3">
      <c r="A609" t="s">
        <v>18</v>
      </c>
      <c r="B609" t="s">
        <v>41</v>
      </c>
      <c r="C609" t="s">
        <v>20</v>
      </c>
      <c r="D609" t="s">
        <v>1</v>
      </c>
      <c r="E609" s="1">
        <v>660</v>
      </c>
      <c r="F609" s="1">
        <v>15</v>
      </c>
      <c r="G609" s="1">
        <v>9900</v>
      </c>
      <c r="H609" s="1">
        <v>8613</v>
      </c>
      <c r="I609" s="1">
        <v>2013</v>
      </c>
      <c r="J609" t="s">
        <v>21</v>
      </c>
      <c r="K609">
        <v>2018</v>
      </c>
    </row>
    <row r="610" spans="1:11" x14ac:dyDescent="0.3">
      <c r="A610" t="s">
        <v>3</v>
      </c>
      <c r="B610" t="s">
        <v>9</v>
      </c>
      <c r="C610" t="s">
        <v>20</v>
      </c>
      <c r="D610" t="s">
        <v>1</v>
      </c>
      <c r="E610" s="1">
        <v>410</v>
      </c>
      <c r="F610" s="1">
        <v>12</v>
      </c>
      <c r="G610" s="1">
        <v>4920</v>
      </c>
      <c r="H610" s="1">
        <v>4280.3999999999996</v>
      </c>
      <c r="I610" s="1">
        <v>3050.3999999999996</v>
      </c>
      <c r="J610" t="s">
        <v>10</v>
      </c>
      <c r="K610">
        <v>2019</v>
      </c>
    </row>
    <row r="611" spans="1:11" x14ac:dyDescent="0.3">
      <c r="A611" t="s">
        <v>12</v>
      </c>
      <c r="B611" t="s">
        <v>9</v>
      </c>
      <c r="C611" t="s">
        <v>20</v>
      </c>
      <c r="D611" t="s">
        <v>1</v>
      </c>
      <c r="E611" s="1">
        <v>2605</v>
      </c>
      <c r="F611" s="1">
        <v>300</v>
      </c>
      <c r="G611" s="1">
        <v>781500</v>
      </c>
      <c r="H611" s="1">
        <v>679905</v>
      </c>
      <c r="I611" s="1">
        <v>28655</v>
      </c>
      <c r="J611" t="s">
        <v>16</v>
      </c>
      <c r="K611">
        <v>2018</v>
      </c>
    </row>
    <row r="612" spans="1:11" x14ac:dyDescent="0.3">
      <c r="A612" t="s">
        <v>3</v>
      </c>
      <c r="B612" t="s">
        <v>41</v>
      </c>
      <c r="C612" t="s">
        <v>20</v>
      </c>
      <c r="D612" t="s">
        <v>1</v>
      </c>
      <c r="E612" s="1">
        <v>1013</v>
      </c>
      <c r="F612" s="1">
        <v>12</v>
      </c>
      <c r="G612" s="1">
        <v>12156</v>
      </c>
      <c r="H612" s="1">
        <v>10575.72</v>
      </c>
      <c r="I612" s="1">
        <v>7536.7199999999993</v>
      </c>
      <c r="J612" t="s">
        <v>15</v>
      </c>
      <c r="K612">
        <v>2019</v>
      </c>
    </row>
    <row r="613" spans="1:11" x14ac:dyDescent="0.3">
      <c r="A613" t="s">
        <v>17</v>
      </c>
      <c r="B613" t="s">
        <v>40</v>
      </c>
      <c r="C613" t="s">
        <v>2</v>
      </c>
      <c r="D613" t="s">
        <v>1</v>
      </c>
      <c r="E613" s="1">
        <v>1583</v>
      </c>
      <c r="F613" s="1">
        <v>125</v>
      </c>
      <c r="G613" s="1">
        <v>197875</v>
      </c>
      <c r="H613" s="1">
        <v>172151.25</v>
      </c>
      <c r="I613" s="1">
        <v>-17808.75</v>
      </c>
      <c r="J613" t="s">
        <v>25</v>
      </c>
      <c r="K613">
        <v>2019</v>
      </c>
    </row>
    <row r="614" spans="1:11" x14ac:dyDescent="0.3">
      <c r="A614" t="s">
        <v>18</v>
      </c>
      <c r="B614" t="s">
        <v>40</v>
      </c>
      <c r="C614" t="s">
        <v>2</v>
      </c>
      <c r="D614" t="s">
        <v>1</v>
      </c>
      <c r="E614" s="1">
        <v>1565</v>
      </c>
      <c r="F614" s="1">
        <v>15</v>
      </c>
      <c r="G614" s="1">
        <v>23475</v>
      </c>
      <c r="H614" s="1">
        <v>20423.25</v>
      </c>
      <c r="I614" s="1">
        <v>4773.25</v>
      </c>
      <c r="J614" t="s">
        <v>10</v>
      </c>
      <c r="K614">
        <v>2019</v>
      </c>
    </row>
    <row r="615" spans="1:11" x14ac:dyDescent="0.3">
      <c r="A615" t="s">
        <v>17</v>
      </c>
      <c r="B615" t="s">
        <v>40</v>
      </c>
      <c r="C615" t="s">
        <v>11</v>
      </c>
      <c r="D615" t="s">
        <v>1</v>
      </c>
      <c r="E615" s="1">
        <v>1659</v>
      </c>
      <c r="F615" s="1">
        <v>125</v>
      </c>
      <c r="G615" s="1">
        <v>207375</v>
      </c>
      <c r="H615" s="1">
        <v>180416.25</v>
      </c>
      <c r="I615" s="1">
        <v>-18663.75</v>
      </c>
      <c r="J615" t="s">
        <v>24</v>
      </c>
      <c r="K615">
        <v>2019</v>
      </c>
    </row>
    <row r="616" spans="1:11" x14ac:dyDescent="0.3">
      <c r="A616" t="s">
        <v>6</v>
      </c>
      <c r="B616" t="s">
        <v>14</v>
      </c>
      <c r="C616" t="s">
        <v>11</v>
      </c>
      <c r="D616" t="s">
        <v>1</v>
      </c>
      <c r="E616" s="1">
        <v>1190</v>
      </c>
      <c r="F616" s="1">
        <v>7</v>
      </c>
      <c r="G616" s="1">
        <v>8330</v>
      </c>
      <c r="H616" s="1">
        <v>7247.1</v>
      </c>
      <c r="I616" s="1">
        <v>1297.1000000000004</v>
      </c>
      <c r="J616" t="s">
        <v>25</v>
      </c>
      <c r="K616">
        <v>2019</v>
      </c>
    </row>
    <row r="617" spans="1:11" x14ac:dyDescent="0.3">
      <c r="A617" t="s">
        <v>3</v>
      </c>
      <c r="B617" t="s">
        <v>9</v>
      </c>
      <c r="C617" t="s">
        <v>11</v>
      </c>
      <c r="D617" t="s">
        <v>1</v>
      </c>
      <c r="E617" s="1">
        <v>410</v>
      </c>
      <c r="F617" s="1">
        <v>12</v>
      </c>
      <c r="G617" s="1">
        <v>4920</v>
      </c>
      <c r="H617" s="1">
        <v>4280.3999999999996</v>
      </c>
      <c r="I617" s="1">
        <v>3050.3999999999996</v>
      </c>
      <c r="J617" t="s">
        <v>10</v>
      </c>
      <c r="K617">
        <v>2019</v>
      </c>
    </row>
    <row r="618" spans="1:11" x14ac:dyDescent="0.3">
      <c r="A618" t="s">
        <v>3</v>
      </c>
      <c r="B618" t="s">
        <v>41</v>
      </c>
      <c r="C618" t="s">
        <v>11</v>
      </c>
      <c r="D618" t="s">
        <v>1</v>
      </c>
      <c r="E618" s="1">
        <v>1770</v>
      </c>
      <c r="F618" s="1">
        <v>12</v>
      </c>
      <c r="G618" s="1">
        <v>21240</v>
      </c>
      <c r="H618" s="1">
        <v>18478.8</v>
      </c>
      <c r="I618" s="1">
        <v>13168.8</v>
      </c>
      <c r="J618" t="s">
        <v>15</v>
      </c>
      <c r="K618">
        <v>2018</v>
      </c>
    </row>
    <row r="619" spans="1:11" x14ac:dyDescent="0.3">
      <c r="A619" t="s">
        <v>6</v>
      </c>
      <c r="B619" t="s">
        <v>9</v>
      </c>
      <c r="C619" t="s">
        <v>23</v>
      </c>
      <c r="D619" t="s">
        <v>1</v>
      </c>
      <c r="E619" s="1">
        <v>2579</v>
      </c>
      <c r="F619" s="1">
        <v>20</v>
      </c>
      <c r="G619" s="1">
        <v>51580</v>
      </c>
      <c r="H619" s="1">
        <v>44358.8</v>
      </c>
      <c r="I619" s="1">
        <v>18568.800000000003</v>
      </c>
      <c r="J619" t="s">
        <v>4</v>
      </c>
      <c r="K619">
        <v>2019</v>
      </c>
    </row>
    <row r="620" spans="1:11" x14ac:dyDescent="0.3">
      <c r="A620" t="s">
        <v>6</v>
      </c>
      <c r="B620" t="s">
        <v>42</v>
      </c>
      <c r="C620" t="s">
        <v>23</v>
      </c>
      <c r="D620" t="s">
        <v>1</v>
      </c>
      <c r="E620" s="1">
        <v>1743</v>
      </c>
      <c r="F620" s="1">
        <v>20</v>
      </c>
      <c r="G620" s="1">
        <v>34860</v>
      </c>
      <c r="H620" s="1">
        <v>29979.599999999999</v>
      </c>
      <c r="I620" s="1">
        <v>12549.599999999999</v>
      </c>
      <c r="J620" t="s">
        <v>0</v>
      </c>
      <c r="K620">
        <v>2019</v>
      </c>
    </row>
    <row r="621" spans="1:11" x14ac:dyDescent="0.3">
      <c r="A621" t="s">
        <v>6</v>
      </c>
      <c r="B621" t="s">
        <v>42</v>
      </c>
      <c r="C621" t="s">
        <v>23</v>
      </c>
      <c r="D621" t="s">
        <v>1</v>
      </c>
      <c r="E621" s="1">
        <v>2996</v>
      </c>
      <c r="F621" s="1">
        <v>7</v>
      </c>
      <c r="G621" s="1">
        <v>20972</v>
      </c>
      <c r="H621" s="1">
        <v>18035.919999999998</v>
      </c>
      <c r="I621" s="1">
        <v>3055.9199999999983</v>
      </c>
      <c r="J621" t="s">
        <v>10</v>
      </c>
      <c r="K621">
        <v>2018</v>
      </c>
    </row>
    <row r="622" spans="1:11" x14ac:dyDescent="0.3">
      <c r="A622" t="s">
        <v>6</v>
      </c>
      <c r="B622" t="s">
        <v>41</v>
      </c>
      <c r="C622" t="s">
        <v>23</v>
      </c>
      <c r="D622" t="s">
        <v>1</v>
      </c>
      <c r="E622" s="1">
        <v>280</v>
      </c>
      <c r="F622" s="1">
        <v>7</v>
      </c>
      <c r="G622" s="1">
        <v>1960</v>
      </c>
      <c r="H622" s="1">
        <v>1685.6</v>
      </c>
      <c r="I622" s="1">
        <v>285.59999999999991</v>
      </c>
      <c r="J622" t="s">
        <v>15</v>
      </c>
      <c r="K622">
        <v>2019</v>
      </c>
    </row>
    <row r="623" spans="1:11" x14ac:dyDescent="0.3">
      <c r="A623" t="s">
        <v>6</v>
      </c>
      <c r="B623" t="s">
        <v>14</v>
      </c>
      <c r="C623" t="s">
        <v>8</v>
      </c>
      <c r="D623" t="s">
        <v>1</v>
      </c>
      <c r="E623" s="1">
        <v>293</v>
      </c>
      <c r="F623" s="1">
        <v>7</v>
      </c>
      <c r="G623" s="1">
        <v>2051</v>
      </c>
      <c r="H623" s="1">
        <v>1763.8600000000001</v>
      </c>
      <c r="I623" s="1">
        <v>298.86000000000013</v>
      </c>
      <c r="J623" t="s">
        <v>7</v>
      </c>
      <c r="K623">
        <v>2019</v>
      </c>
    </row>
    <row r="624" spans="1:11" x14ac:dyDescent="0.3">
      <c r="A624" t="s">
        <v>6</v>
      </c>
      <c r="B624" t="s">
        <v>42</v>
      </c>
      <c r="C624" t="s">
        <v>8</v>
      </c>
      <c r="D624" t="s">
        <v>1</v>
      </c>
      <c r="E624" s="1">
        <v>2996</v>
      </c>
      <c r="F624" s="1">
        <v>7</v>
      </c>
      <c r="G624" s="1">
        <v>20972</v>
      </c>
      <c r="H624" s="1">
        <v>18035.919999999998</v>
      </c>
      <c r="I624" s="1">
        <v>3055.9199999999983</v>
      </c>
      <c r="J624" t="s">
        <v>10</v>
      </c>
      <c r="K624">
        <v>2018</v>
      </c>
    </row>
    <row r="625" spans="1:11" x14ac:dyDescent="0.3">
      <c r="A625" t="s">
        <v>18</v>
      </c>
      <c r="B625" t="s">
        <v>41</v>
      </c>
      <c r="C625" t="s">
        <v>5</v>
      </c>
      <c r="D625" t="s">
        <v>1</v>
      </c>
      <c r="E625" s="1">
        <v>278</v>
      </c>
      <c r="F625" s="1">
        <v>15</v>
      </c>
      <c r="G625" s="1">
        <v>4170</v>
      </c>
      <c r="H625" s="1">
        <v>3586.2</v>
      </c>
      <c r="I625" s="1">
        <v>806.19999999999982</v>
      </c>
      <c r="J625" t="s">
        <v>7</v>
      </c>
      <c r="K625">
        <v>2019</v>
      </c>
    </row>
    <row r="626" spans="1:11" x14ac:dyDescent="0.3">
      <c r="A626" t="s">
        <v>6</v>
      </c>
      <c r="B626" t="s">
        <v>40</v>
      </c>
      <c r="C626" t="s">
        <v>5</v>
      </c>
      <c r="D626" t="s">
        <v>1</v>
      </c>
      <c r="E626" s="1">
        <v>2428</v>
      </c>
      <c r="F626" s="1">
        <v>20</v>
      </c>
      <c r="G626" s="1">
        <v>48560</v>
      </c>
      <c r="H626" s="1">
        <v>41761.599999999999</v>
      </c>
      <c r="I626" s="1">
        <v>17481.599999999999</v>
      </c>
      <c r="J626" t="s">
        <v>13</v>
      </c>
      <c r="K626">
        <v>2019</v>
      </c>
    </row>
    <row r="627" spans="1:11" x14ac:dyDescent="0.3">
      <c r="A627" t="s">
        <v>18</v>
      </c>
      <c r="B627" t="s">
        <v>42</v>
      </c>
      <c r="C627" t="s">
        <v>5</v>
      </c>
      <c r="D627" t="s">
        <v>1</v>
      </c>
      <c r="E627" s="1">
        <v>1767</v>
      </c>
      <c r="F627" s="1">
        <v>15</v>
      </c>
      <c r="G627" s="1">
        <v>26505</v>
      </c>
      <c r="H627" s="1">
        <v>22794.3</v>
      </c>
      <c r="I627" s="1">
        <v>5124.2999999999993</v>
      </c>
      <c r="J627" t="s">
        <v>21</v>
      </c>
      <c r="K627">
        <v>2019</v>
      </c>
    </row>
    <row r="628" spans="1:11" x14ac:dyDescent="0.3">
      <c r="A628" t="s">
        <v>3</v>
      </c>
      <c r="B628" t="s">
        <v>14</v>
      </c>
      <c r="C628" t="s">
        <v>5</v>
      </c>
      <c r="D628" t="s">
        <v>1</v>
      </c>
      <c r="E628" s="1">
        <v>1393</v>
      </c>
      <c r="F628" s="1">
        <v>12</v>
      </c>
      <c r="G628" s="1">
        <v>16716</v>
      </c>
      <c r="H628" s="1">
        <v>14375.76</v>
      </c>
      <c r="I628" s="1">
        <v>10196.76</v>
      </c>
      <c r="J628" t="s">
        <v>10</v>
      </c>
      <c r="K628">
        <v>2019</v>
      </c>
    </row>
    <row r="629" spans="1:11" x14ac:dyDescent="0.3">
      <c r="A629" t="s">
        <v>6</v>
      </c>
      <c r="B629" t="s">
        <v>41</v>
      </c>
      <c r="C629" t="s">
        <v>2</v>
      </c>
      <c r="D629" t="s">
        <v>1</v>
      </c>
      <c r="E629" s="1">
        <v>280</v>
      </c>
      <c r="F629" s="1">
        <v>7</v>
      </c>
      <c r="G629" s="1">
        <v>1960</v>
      </c>
      <c r="H629" s="1">
        <v>1685.6</v>
      </c>
      <c r="I629" s="1">
        <v>285.59999999999991</v>
      </c>
      <c r="J629" t="s">
        <v>15</v>
      </c>
      <c r="K629">
        <v>2019</v>
      </c>
    </row>
    <row r="630" spans="1:11" x14ac:dyDescent="0.3">
      <c r="A630" t="s">
        <v>3</v>
      </c>
      <c r="B630" t="s">
        <v>14</v>
      </c>
      <c r="C630" t="s">
        <v>11</v>
      </c>
      <c r="D630" t="s">
        <v>1</v>
      </c>
      <c r="E630" s="1">
        <v>1393</v>
      </c>
      <c r="F630" s="1">
        <v>12</v>
      </c>
      <c r="G630" s="1">
        <v>16716</v>
      </c>
      <c r="H630" s="1">
        <v>14375.76</v>
      </c>
      <c r="I630" s="1">
        <v>10196.76</v>
      </c>
      <c r="J630" t="s">
        <v>10</v>
      </c>
      <c r="K630">
        <v>2019</v>
      </c>
    </row>
    <row r="631" spans="1:11" x14ac:dyDescent="0.3">
      <c r="A631" t="s">
        <v>3</v>
      </c>
      <c r="B631" t="s">
        <v>42</v>
      </c>
      <c r="C631" t="s">
        <v>11</v>
      </c>
      <c r="D631" t="s">
        <v>1</v>
      </c>
      <c r="E631" s="1">
        <v>2015</v>
      </c>
      <c r="F631" s="1">
        <v>12</v>
      </c>
      <c r="G631" s="1">
        <v>24180</v>
      </c>
      <c r="H631" s="1">
        <v>20794.8</v>
      </c>
      <c r="I631" s="1">
        <v>14749.8</v>
      </c>
      <c r="J631" t="s">
        <v>15</v>
      </c>
      <c r="K631">
        <v>2018</v>
      </c>
    </row>
    <row r="632" spans="1:11" x14ac:dyDescent="0.3">
      <c r="A632" t="s">
        <v>12</v>
      </c>
      <c r="B632" t="s">
        <v>9</v>
      </c>
      <c r="C632" t="s">
        <v>23</v>
      </c>
      <c r="D632" t="s">
        <v>1</v>
      </c>
      <c r="E632" s="1">
        <v>801</v>
      </c>
      <c r="F632" s="1">
        <v>300</v>
      </c>
      <c r="G632" s="1">
        <v>240300</v>
      </c>
      <c r="H632" s="1">
        <v>206658</v>
      </c>
      <c r="I632" s="1">
        <v>6408</v>
      </c>
      <c r="J632" t="s">
        <v>19</v>
      </c>
      <c r="K632">
        <v>2019</v>
      </c>
    </row>
    <row r="633" spans="1:11" x14ac:dyDescent="0.3">
      <c r="A633" t="s">
        <v>17</v>
      </c>
      <c r="B633" t="s">
        <v>14</v>
      </c>
      <c r="C633" t="s">
        <v>23</v>
      </c>
      <c r="D633" t="s">
        <v>1</v>
      </c>
      <c r="E633" s="1">
        <v>1023</v>
      </c>
      <c r="F633" s="1">
        <v>125</v>
      </c>
      <c r="G633" s="1">
        <v>127875</v>
      </c>
      <c r="H633" s="1">
        <v>109972.5</v>
      </c>
      <c r="I633" s="1">
        <v>-12787.5</v>
      </c>
      <c r="J633" t="s">
        <v>21</v>
      </c>
      <c r="K633">
        <v>2018</v>
      </c>
    </row>
    <row r="634" spans="1:11" x14ac:dyDescent="0.3">
      <c r="A634" t="s">
        <v>12</v>
      </c>
      <c r="B634" t="s">
        <v>40</v>
      </c>
      <c r="C634" t="s">
        <v>23</v>
      </c>
      <c r="D634" t="s">
        <v>1</v>
      </c>
      <c r="E634" s="1">
        <v>1496</v>
      </c>
      <c r="F634" s="1">
        <v>300</v>
      </c>
      <c r="G634" s="1">
        <v>448800</v>
      </c>
      <c r="H634" s="1">
        <v>385968</v>
      </c>
      <c r="I634" s="1">
        <v>11968</v>
      </c>
      <c r="J634" t="s">
        <v>10</v>
      </c>
      <c r="K634">
        <v>2019</v>
      </c>
    </row>
    <row r="635" spans="1:11" x14ac:dyDescent="0.3">
      <c r="A635" t="s">
        <v>12</v>
      </c>
      <c r="B635" t="s">
        <v>42</v>
      </c>
      <c r="C635" t="s">
        <v>23</v>
      </c>
      <c r="D635" t="s">
        <v>1</v>
      </c>
      <c r="E635" s="1">
        <v>1010</v>
      </c>
      <c r="F635" s="1">
        <v>300</v>
      </c>
      <c r="G635" s="1">
        <v>303000</v>
      </c>
      <c r="H635" s="1">
        <v>260580</v>
      </c>
      <c r="I635" s="1">
        <v>8080</v>
      </c>
      <c r="J635" t="s">
        <v>10</v>
      </c>
      <c r="K635">
        <v>2019</v>
      </c>
    </row>
    <row r="636" spans="1:11" x14ac:dyDescent="0.3">
      <c r="A636" t="s">
        <v>18</v>
      </c>
      <c r="B636" t="s">
        <v>41</v>
      </c>
      <c r="C636" t="s">
        <v>23</v>
      </c>
      <c r="D636" t="s">
        <v>1</v>
      </c>
      <c r="E636" s="1">
        <v>1513</v>
      </c>
      <c r="F636" s="1">
        <v>15</v>
      </c>
      <c r="G636" s="1">
        <v>22695</v>
      </c>
      <c r="H636" s="1">
        <v>19517.7</v>
      </c>
      <c r="I636" s="1">
        <v>4387.7000000000007</v>
      </c>
      <c r="J636" t="s">
        <v>16</v>
      </c>
      <c r="K636">
        <v>2019</v>
      </c>
    </row>
    <row r="637" spans="1:11" x14ac:dyDescent="0.3">
      <c r="A637" t="s">
        <v>18</v>
      </c>
      <c r="B637" t="s">
        <v>40</v>
      </c>
      <c r="C637" t="s">
        <v>23</v>
      </c>
      <c r="D637" t="s">
        <v>1</v>
      </c>
      <c r="E637" s="1">
        <v>2300</v>
      </c>
      <c r="F637" s="1">
        <v>15</v>
      </c>
      <c r="G637" s="1">
        <v>34500</v>
      </c>
      <c r="H637" s="1">
        <v>29670</v>
      </c>
      <c r="I637" s="1">
        <v>6670</v>
      </c>
      <c r="J637" t="s">
        <v>15</v>
      </c>
      <c r="K637">
        <v>2019</v>
      </c>
    </row>
    <row r="638" spans="1:11" x14ac:dyDescent="0.3">
      <c r="A638" t="s">
        <v>17</v>
      </c>
      <c r="B638" t="s">
        <v>9</v>
      </c>
      <c r="C638" t="s">
        <v>23</v>
      </c>
      <c r="D638" t="s">
        <v>1</v>
      </c>
      <c r="E638" s="1">
        <v>2821</v>
      </c>
      <c r="F638" s="1">
        <v>125</v>
      </c>
      <c r="G638" s="1">
        <v>352625</v>
      </c>
      <c r="H638" s="1">
        <v>303257.5</v>
      </c>
      <c r="I638" s="1">
        <v>-35262.5</v>
      </c>
      <c r="J638" t="s">
        <v>15</v>
      </c>
      <c r="K638">
        <v>2018</v>
      </c>
    </row>
    <row r="639" spans="1:11" x14ac:dyDescent="0.3">
      <c r="A639" t="s">
        <v>6</v>
      </c>
      <c r="B639" t="s">
        <v>40</v>
      </c>
      <c r="C639" t="s">
        <v>8</v>
      </c>
      <c r="D639" t="s">
        <v>1</v>
      </c>
      <c r="E639" s="1">
        <v>2227.5</v>
      </c>
      <c r="F639" s="1">
        <v>350</v>
      </c>
      <c r="G639" s="1">
        <v>779625</v>
      </c>
      <c r="H639" s="1">
        <v>670477.5</v>
      </c>
      <c r="I639" s="1">
        <v>91327.5</v>
      </c>
      <c r="J639" t="s">
        <v>24</v>
      </c>
      <c r="K639">
        <v>2019</v>
      </c>
    </row>
    <row r="640" spans="1:11" x14ac:dyDescent="0.3">
      <c r="A640" t="s">
        <v>6</v>
      </c>
      <c r="B640" t="s">
        <v>41</v>
      </c>
      <c r="C640" t="s">
        <v>8</v>
      </c>
      <c r="D640" t="s">
        <v>1</v>
      </c>
      <c r="E640" s="1">
        <v>1199</v>
      </c>
      <c r="F640" s="1">
        <v>350</v>
      </c>
      <c r="G640" s="1">
        <v>419650</v>
      </c>
      <c r="H640" s="1">
        <v>360899</v>
      </c>
      <c r="I640" s="1">
        <v>49159</v>
      </c>
      <c r="J640" t="s">
        <v>4</v>
      </c>
      <c r="K640">
        <v>2019</v>
      </c>
    </row>
    <row r="641" spans="1:11" x14ac:dyDescent="0.3">
      <c r="A641" t="s">
        <v>6</v>
      </c>
      <c r="B641" t="s">
        <v>40</v>
      </c>
      <c r="C641" t="s">
        <v>8</v>
      </c>
      <c r="D641" t="s">
        <v>1</v>
      </c>
      <c r="E641" s="1">
        <v>200</v>
      </c>
      <c r="F641" s="1">
        <v>350</v>
      </c>
      <c r="G641" s="1">
        <v>70000</v>
      </c>
      <c r="H641" s="1">
        <v>60200</v>
      </c>
      <c r="I641" s="1">
        <v>8200</v>
      </c>
      <c r="J641" t="s">
        <v>0</v>
      </c>
      <c r="K641">
        <v>2019</v>
      </c>
    </row>
    <row r="642" spans="1:11" x14ac:dyDescent="0.3">
      <c r="A642" t="s">
        <v>6</v>
      </c>
      <c r="B642" t="s">
        <v>40</v>
      </c>
      <c r="C642" t="s">
        <v>8</v>
      </c>
      <c r="D642" t="s">
        <v>1</v>
      </c>
      <c r="E642" s="1">
        <v>388</v>
      </c>
      <c r="F642" s="1">
        <v>7</v>
      </c>
      <c r="G642" s="1">
        <v>2716</v>
      </c>
      <c r="H642" s="1">
        <v>2335.7600000000002</v>
      </c>
      <c r="I642" s="1">
        <v>395.76000000000022</v>
      </c>
      <c r="J642" t="s">
        <v>21</v>
      </c>
      <c r="K642">
        <v>2019</v>
      </c>
    </row>
    <row r="643" spans="1:11" x14ac:dyDescent="0.3">
      <c r="A643" t="s">
        <v>6</v>
      </c>
      <c r="B643" t="s">
        <v>9</v>
      </c>
      <c r="C643" t="s">
        <v>8</v>
      </c>
      <c r="D643" t="s">
        <v>1</v>
      </c>
      <c r="E643" s="1">
        <v>1727</v>
      </c>
      <c r="F643" s="1">
        <v>7</v>
      </c>
      <c r="G643" s="1">
        <v>12089</v>
      </c>
      <c r="H643" s="1">
        <v>10396.540000000001</v>
      </c>
      <c r="I643" s="1">
        <v>1761.5400000000009</v>
      </c>
      <c r="J643" t="s">
        <v>10</v>
      </c>
      <c r="K643">
        <v>2018</v>
      </c>
    </row>
    <row r="644" spans="1:11" x14ac:dyDescent="0.3">
      <c r="A644" t="s">
        <v>18</v>
      </c>
      <c r="B644" t="s">
        <v>40</v>
      </c>
      <c r="C644" t="s">
        <v>8</v>
      </c>
      <c r="D644" t="s">
        <v>1</v>
      </c>
      <c r="E644" s="1">
        <v>2300</v>
      </c>
      <c r="F644" s="1">
        <v>15</v>
      </c>
      <c r="G644" s="1">
        <v>34500</v>
      </c>
      <c r="H644" s="1">
        <v>29670</v>
      </c>
      <c r="I644" s="1">
        <v>6670</v>
      </c>
      <c r="J644" t="s">
        <v>15</v>
      </c>
      <c r="K644">
        <v>2019</v>
      </c>
    </row>
    <row r="645" spans="1:11" x14ac:dyDescent="0.3">
      <c r="A645" t="s">
        <v>6</v>
      </c>
      <c r="B645" t="s">
        <v>9</v>
      </c>
      <c r="C645" t="s">
        <v>5</v>
      </c>
      <c r="D645" t="s">
        <v>1</v>
      </c>
      <c r="E645" s="1">
        <v>260</v>
      </c>
      <c r="F645" s="1">
        <v>20</v>
      </c>
      <c r="G645" s="1">
        <v>5200</v>
      </c>
      <c r="H645" s="1">
        <v>4472</v>
      </c>
      <c r="I645" s="1">
        <v>1872</v>
      </c>
      <c r="J645" t="s">
        <v>7</v>
      </c>
      <c r="K645">
        <v>2019</v>
      </c>
    </row>
    <row r="646" spans="1:11" x14ac:dyDescent="0.3">
      <c r="A646" t="s">
        <v>18</v>
      </c>
      <c r="B646" t="s">
        <v>40</v>
      </c>
      <c r="C646" t="s">
        <v>5</v>
      </c>
      <c r="D646" t="s">
        <v>1</v>
      </c>
      <c r="E646" s="1">
        <v>2470</v>
      </c>
      <c r="F646" s="1">
        <v>15</v>
      </c>
      <c r="G646" s="1">
        <v>37050</v>
      </c>
      <c r="H646" s="1">
        <v>31863</v>
      </c>
      <c r="I646" s="1">
        <v>7163</v>
      </c>
      <c r="J646" t="s">
        <v>21</v>
      </c>
      <c r="K646">
        <v>2018</v>
      </c>
    </row>
    <row r="647" spans="1:11" x14ac:dyDescent="0.3">
      <c r="A647" t="s">
        <v>18</v>
      </c>
      <c r="B647" t="s">
        <v>40</v>
      </c>
      <c r="C647" t="s">
        <v>5</v>
      </c>
      <c r="D647" t="s">
        <v>1</v>
      </c>
      <c r="E647" s="1">
        <v>1743</v>
      </c>
      <c r="F647" s="1">
        <v>15</v>
      </c>
      <c r="G647" s="1">
        <v>26145</v>
      </c>
      <c r="H647" s="1">
        <v>22484.7</v>
      </c>
      <c r="I647" s="1">
        <v>5054.7000000000007</v>
      </c>
      <c r="J647" t="s">
        <v>10</v>
      </c>
      <c r="K647">
        <v>2018</v>
      </c>
    </row>
    <row r="648" spans="1:11" x14ac:dyDescent="0.3">
      <c r="A648" t="s">
        <v>3</v>
      </c>
      <c r="B648" t="s">
        <v>42</v>
      </c>
      <c r="C648" t="s">
        <v>5</v>
      </c>
      <c r="D648" t="s">
        <v>1</v>
      </c>
      <c r="E648" s="1">
        <v>2914</v>
      </c>
      <c r="F648" s="1">
        <v>12</v>
      </c>
      <c r="G648" s="1">
        <v>34968</v>
      </c>
      <c r="H648" s="1">
        <v>30072.48</v>
      </c>
      <c r="I648" s="1">
        <v>21330.48</v>
      </c>
      <c r="J648" t="s">
        <v>10</v>
      </c>
      <c r="K648">
        <v>2019</v>
      </c>
    </row>
    <row r="649" spans="1:11" x14ac:dyDescent="0.3">
      <c r="A649" t="s">
        <v>6</v>
      </c>
      <c r="B649" t="s">
        <v>14</v>
      </c>
      <c r="C649" t="s">
        <v>5</v>
      </c>
      <c r="D649" t="s">
        <v>1</v>
      </c>
      <c r="E649" s="1">
        <v>1731</v>
      </c>
      <c r="F649" s="1">
        <v>7</v>
      </c>
      <c r="G649" s="1">
        <v>12117</v>
      </c>
      <c r="H649" s="1">
        <v>10420.619999999999</v>
      </c>
      <c r="I649" s="1">
        <v>1765.619999999999</v>
      </c>
      <c r="J649" t="s">
        <v>10</v>
      </c>
      <c r="K649">
        <v>2019</v>
      </c>
    </row>
    <row r="650" spans="1:11" x14ac:dyDescent="0.3">
      <c r="A650" t="s">
        <v>6</v>
      </c>
      <c r="B650" t="s">
        <v>40</v>
      </c>
      <c r="C650" t="s">
        <v>5</v>
      </c>
      <c r="D650" t="s">
        <v>1</v>
      </c>
      <c r="E650" s="1">
        <v>700</v>
      </c>
      <c r="F650" s="1">
        <v>350</v>
      </c>
      <c r="G650" s="1">
        <v>245000</v>
      </c>
      <c r="H650" s="1">
        <v>210700</v>
      </c>
      <c r="I650" s="1">
        <v>28700</v>
      </c>
      <c r="J650" t="s">
        <v>16</v>
      </c>
      <c r="K650">
        <v>2019</v>
      </c>
    </row>
    <row r="651" spans="1:11" x14ac:dyDescent="0.3">
      <c r="A651" t="s">
        <v>3</v>
      </c>
      <c r="B651" t="s">
        <v>40</v>
      </c>
      <c r="C651" t="s">
        <v>5</v>
      </c>
      <c r="D651" t="s">
        <v>1</v>
      </c>
      <c r="E651" s="1">
        <v>2222</v>
      </c>
      <c r="F651" s="1">
        <v>12</v>
      </c>
      <c r="G651" s="1">
        <v>26664</v>
      </c>
      <c r="H651" s="1">
        <v>22931.040000000001</v>
      </c>
      <c r="I651" s="1">
        <v>16265.04</v>
      </c>
      <c r="J651" t="s">
        <v>16</v>
      </c>
      <c r="K651">
        <v>2018</v>
      </c>
    </row>
    <row r="652" spans="1:11" x14ac:dyDescent="0.3">
      <c r="A652" t="s">
        <v>6</v>
      </c>
      <c r="B652" t="s">
        <v>42</v>
      </c>
      <c r="C652" t="s">
        <v>5</v>
      </c>
      <c r="D652" t="s">
        <v>1</v>
      </c>
      <c r="E652" s="1">
        <v>1177</v>
      </c>
      <c r="F652" s="1">
        <v>350</v>
      </c>
      <c r="G652" s="1">
        <v>411950</v>
      </c>
      <c r="H652" s="1">
        <v>354277</v>
      </c>
      <c r="I652" s="1">
        <v>48257</v>
      </c>
      <c r="J652" t="s">
        <v>16</v>
      </c>
      <c r="K652">
        <v>2019</v>
      </c>
    </row>
    <row r="653" spans="1:11" x14ac:dyDescent="0.3">
      <c r="A653" t="s">
        <v>6</v>
      </c>
      <c r="B653" t="s">
        <v>14</v>
      </c>
      <c r="C653" t="s">
        <v>5</v>
      </c>
      <c r="D653" t="s">
        <v>1</v>
      </c>
      <c r="E653" s="1">
        <v>1922</v>
      </c>
      <c r="F653" s="1">
        <v>350</v>
      </c>
      <c r="G653" s="1">
        <v>672700</v>
      </c>
      <c r="H653" s="1">
        <v>578522</v>
      </c>
      <c r="I653" s="1">
        <v>78802</v>
      </c>
      <c r="J653" t="s">
        <v>16</v>
      </c>
      <c r="K653">
        <v>2018</v>
      </c>
    </row>
    <row r="654" spans="1:11" x14ac:dyDescent="0.3">
      <c r="A654" t="s">
        <v>17</v>
      </c>
      <c r="B654" t="s">
        <v>9</v>
      </c>
      <c r="C654" t="s">
        <v>20</v>
      </c>
      <c r="D654" t="s">
        <v>1</v>
      </c>
      <c r="E654" s="1">
        <v>1575</v>
      </c>
      <c r="F654" s="1">
        <v>125</v>
      </c>
      <c r="G654" s="1">
        <v>196875</v>
      </c>
      <c r="H654" s="1">
        <v>169312.5</v>
      </c>
      <c r="I654" s="1">
        <v>-19687.5</v>
      </c>
      <c r="J654" t="s">
        <v>7</v>
      </c>
      <c r="K654">
        <v>2019</v>
      </c>
    </row>
    <row r="655" spans="1:11" x14ac:dyDescent="0.3">
      <c r="A655" t="s">
        <v>6</v>
      </c>
      <c r="B655" t="s">
        <v>42</v>
      </c>
      <c r="C655" t="s">
        <v>20</v>
      </c>
      <c r="D655" t="s">
        <v>1</v>
      </c>
      <c r="E655" s="1">
        <v>606</v>
      </c>
      <c r="F655" s="1">
        <v>20</v>
      </c>
      <c r="G655" s="1">
        <v>12120</v>
      </c>
      <c r="H655" s="1">
        <v>10423.200000000001</v>
      </c>
      <c r="I655" s="1">
        <v>4363.2000000000007</v>
      </c>
      <c r="J655" t="s">
        <v>4</v>
      </c>
      <c r="K655">
        <v>2019</v>
      </c>
    </row>
    <row r="656" spans="1:11" x14ac:dyDescent="0.3">
      <c r="A656" t="s">
        <v>12</v>
      </c>
      <c r="B656" t="s">
        <v>42</v>
      </c>
      <c r="C656" t="s">
        <v>20</v>
      </c>
      <c r="D656" t="s">
        <v>1</v>
      </c>
      <c r="E656" s="1">
        <v>2460</v>
      </c>
      <c r="F656" s="1">
        <v>300</v>
      </c>
      <c r="G656" s="1">
        <v>738000</v>
      </c>
      <c r="H656" s="1">
        <v>634680</v>
      </c>
      <c r="I656" s="1">
        <v>19680</v>
      </c>
      <c r="J656" t="s">
        <v>19</v>
      </c>
      <c r="K656">
        <v>2019</v>
      </c>
    </row>
    <row r="657" spans="1:11" x14ac:dyDescent="0.3">
      <c r="A657" t="s">
        <v>12</v>
      </c>
      <c r="B657" t="s">
        <v>40</v>
      </c>
      <c r="C657" t="s">
        <v>20</v>
      </c>
      <c r="D657" t="s">
        <v>1</v>
      </c>
      <c r="E657" s="1">
        <v>269</v>
      </c>
      <c r="F657" s="1">
        <v>300</v>
      </c>
      <c r="G657" s="1">
        <v>80700</v>
      </c>
      <c r="H657" s="1">
        <v>69402</v>
      </c>
      <c r="I657" s="1">
        <v>2152</v>
      </c>
      <c r="J657" t="s">
        <v>10</v>
      </c>
      <c r="K657">
        <v>2018</v>
      </c>
    </row>
    <row r="658" spans="1:11" x14ac:dyDescent="0.3">
      <c r="A658" t="s">
        <v>12</v>
      </c>
      <c r="B658" t="s">
        <v>41</v>
      </c>
      <c r="C658" t="s">
        <v>20</v>
      </c>
      <c r="D658" t="s">
        <v>1</v>
      </c>
      <c r="E658" s="1">
        <v>2536</v>
      </c>
      <c r="F658" s="1">
        <v>300</v>
      </c>
      <c r="G658" s="1">
        <v>760800</v>
      </c>
      <c r="H658" s="1">
        <v>654288</v>
      </c>
      <c r="I658" s="1">
        <v>20288</v>
      </c>
      <c r="J658" t="s">
        <v>16</v>
      </c>
      <c r="K658">
        <v>2018</v>
      </c>
    </row>
    <row r="659" spans="1:11" x14ac:dyDescent="0.3">
      <c r="A659" t="s">
        <v>6</v>
      </c>
      <c r="B659" t="s">
        <v>9</v>
      </c>
      <c r="C659" t="s">
        <v>2</v>
      </c>
      <c r="D659" t="s">
        <v>1</v>
      </c>
      <c r="E659" s="1">
        <v>2903</v>
      </c>
      <c r="F659" s="1">
        <v>7</v>
      </c>
      <c r="G659" s="1">
        <v>20321</v>
      </c>
      <c r="H659" s="1">
        <v>17476.060000000001</v>
      </c>
      <c r="I659" s="1">
        <v>2961.0600000000013</v>
      </c>
      <c r="J659" t="s">
        <v>13</v>
      </c>
      <c r="K659">
        <v>2019</v>
      </c>
    </row>
    <row r="660" spans="1:11" x14ac:dyDescent="0.3">
      <c r="A660" t="s">
        <v>12</v>
      </c>
      <c r="B660" t="s">
        <v>42</v>
      </c>
      <c r="C660" t="s">
        <v>2</v>
      </c>
      <c r="D660" t="s">
        <v>1</v>
      </c>
      <c r="E660" s="1">
        <v>2541</v>
      </c>
      <c r="F660" s="1">
        <v>300</v>
      </c>
      <c r="G660" s="1">
        <v>762300</v>
      </c>
      <c r="H660" s="1">
        <v>655578</v>
      </c>
      <c r="I660" s="1">
        <v>20328</v>
      </c>
      <c r="J660" t="s">
        <v>22</v>
      </c>
      <c r="K660">
        <v>2019</v>
      </c>
    </row>
    <row r="661" spans="1:11" x14ac:dyDescent="0.3">
      <c r="A661" t="s">
        <v>12</v>
      </c>
      <c r="B661" t="s">
        <v>40</v>
      </c>
      <c r="C661" t="s">
        <v>2</v>
      </c>
      <c r="D661" t="s">
        <v>1</v>
      </c>
      <c r="E661" s="1">
        <v>269</v>
      </c>
      <c r="F661" s="1">
        <v>300</v>
      </c>
      <c r="G661" s="1">
        <v>80700</v>
      </c>
      <c r="H661" s="1">
        <v>69402</v>
      </c>
      <c r="I661" s="1">
        <v>2152</v>
      </c>
      <c r="J661" t="s">
        <v>10</v>
      </c>
      <c r="K661">
        <v>2018</v>
      </c>
    </row>
    <row r="662" spans="1:11" x14ac:dyDescent="0.3">
      <c r="A662" t="s">
        <v>12</v>
      </c>
      <c r="B662" t="s">
        <v>40</v>
      </c>
      <c r="C662" t="s">
        <v>2</v>
      </c>
      <c r="D662" t="s">
        <v>1</v>
      </c>
      <c r="E662" s="1">
        <v>1496</v>
      </c>
      <c r="F662" s="1">
        <v>300</v>
      </c>
      <c r="G662" s="1">
        <v>448800</v>
      </c>
      <c r="H662" s="1">
        <v>385968</v>
      </c>
      <c r="I662" s="1">
        <v>11968</v>
      </c>
      <c r="J662" t="s">
        <v>10</v>
      </c>
      <c r="K662">
        <v>2019</v>
      </c>
    </row>
    <row r="663" spans="1:11" x14ac:dyDescent="0.3">
      <c r="A663" t="s">
        <v>12</v>
      </c>
      <c r="B663" t="s">
        <v>42</v>
      </c>
      <c r="C663" t="s">
        <v>2</v>
      </c>
      <c r="D663" t="s">
        <v>1</v>
      </c>
      <c r="E663" s="1">
        <v>1010</v>
      </c>
      <c r="F663" s="1">
        <v>300</v>
      </c>
      <c r="G663" s="1">
        <v>303000</v>
      </c>
      <c r="H663" s="1">
        <v>260580</v>
      </c>
      <c r="I663" s="1">
        <v>8080</v>
      </c>
      <c r="J663" t="s">
        <v>10</v>
      </c>
      <c r="K663">
        <v>2019</v>
      </c>
    </row>
    <row r="664" spans="1:11" x14ac:dyDescent="0.3">
      <c r="A664" t="s">
        <v>6</v>
      </c>
      <c r="B664" t="s">
        <v>14</v>
      </c>
      <c r="C664" t="s">
        <v>2</v>
      </c>
      <c r="D664" t="s">
        <v>1</v>
      </c>
      <c r="E664" s="1">
        <v>1281</v>
      </c>
      <c r="F664" s="1">
        <v>350</v>
      </c>
      <c r="G664" s="1">
        <v>448350</v>
      </c>
      <c r="H664" s="1">
        <v>385581</v>
      </c>
      <c r="I664" s="1">
        <v>52521</v>
      </c>
      <c r="J664" t="s">
        <v>15</v>
      </c>
      <c r="K664">
        <v>2018</v>
      </c>
    </row>
    <row r="665" spans="1:11" x14ac:dyDescent="0.3">
      <c r="A665" t="s">
        <v>12</v>
      </c>
      <c r="B665" t="s">
        <v>40</v>
      </c>
      <c r="C665" t="s">
        <v>11</v>
      </c>
      <c r="D665" t="s">
        <v>1</v>
      </c>
      <c r="E665" s="1">
        <v>888</v>
      </c>
      <c r="F665" s="1">
        <v>300</v>
      </c>
      <c r="G665" s="1">
        <v>266400</v>
      </c>
      <c r="H665" s="1">
        <v>229104</v>
      </c>
      <c r="I665" s="1">
        <v>7104</v>
      </c>
      <c r="J665" t="s">
        <v>13</v>
      </c>
      <c r="K665">
        <v>2019</v>
      </c>
    </row>
    <row r="666" spans="1:11" x14ac:dyDescent="0.3">
      <c r="A666" t="s">
        <v>17</v>
      </c>
      <c r="B666" t="s">
        <v>42</v>
      </c>
      <c r="C666" t="s">
        <v>11</v>
      </c>
      <c r="D666" t="s">
        <v>1</v>
      </c>
      <c r="E666" s="1">
        <v>2844</v>
      </c>
      <c r="F666" s="1">
        <v>125</v>
      </c>
      <c r="G666" s="1">
        <v>355500</v>
      </c>
      <c r="H666" s="1">
        <v>305730</v>
      </c>
      <c r="I666" s="1">
        <v>-35550</v>
      </c>
      <c r="J666" t="s">
        <v>0</v>
      </c>
      <c r="K666">
        <v>2019</v>
      </c>
    </row>
    <row r="667" spans="1:11" x14ac:dyDescent="0.3">
      <c r="A667" t="s">
        <v>3</v>
      </c>
      <c r="B667" t="s">
        <v>14</v>
      </c>
      <c r="C667" t="s">
        <v>11</v>
      </c>
      <c r="D667" t="s">
        <v>1</v>
      </c>
      <c r="E667" s="1">
        <v>2475</v>
      </c>
      <c r="F667" s="1">
        <v>12</v>
      </c>
      <c r="G667" s="1">
        <v>29700</v>
      </c>
      <c r="H667" s="1">
        <v>25542</v>
      </c>
      <c r="I667" s="1">
        <v>18117</v>
      </c>
      <c r="J667" t="s">
        <v>22</v>
      </c>
      <c r="K667">
        <v>2019</v>
      </c>
    </row>
    <row r="668" spans="1:11" x14ac:dyDescent="0.3">
      <c r="A668" t="s">
        <v>18</v>
      </c>
      <c r="B668" t="s">
        <v>40</v>
      </c>
      <c r="C668" t="s">
        <v>11</v>
      </c>
      <c r="D668" t="s">
        <v>1</v>
      </c>
      <c r="E668" s="1">
        <v>1743</v>
      </c>
      <c r="F668" s="1">
        <v>15</v>
      </c>
      <c r="G668" s="1">
        <v>26145</v>
      </c>
      <c r="H668" s="1">
        <v>22484.7</v>
      </c>
      <c r="I668" s="1">
        <v>5054.7000000000007</v>
      </c>
      <c r="J668" t="s">
        <v>10</v>
      </c>
      <c r="K668">
        <v>2018</v>
      </c>
    </row>
    <row r="669" spans="1:11" x14ac:dyDescent="0.3">
      <c r="A669" t="s">
        <v>3</v>
      </c>
      <c r="B669" t="s">
        <v>42</v>
      </c>
      <c r="C669" t="s">
        <v>11</v>
      </c>
      <c r="D669" t="s">
        <v>1</v>
      </c>
      <c r="E669" s="1">
        <v>2914</v>
      </c>
      <c r="F669" s="1">
        <v>12</v>
      </c>
      <c r="G669" s="1">
        <v>34968</v>
      </c>
      <c r="H669" s="1">
        <v>30072.48</v>
      </c>
      <c r="I669" s="1">
        <v>21330.48</v>
      </c>
      <c r="J669" t="s">
        <v>10</v>
      </c>
      <c r="K669">
        <v>2019</v>
      </c>
    </row>
    <row r="670" spans="1:11" x14ac:dyDescent="0.3">
      <c r="A670" t="s">
        <v>6</v>
      </c>
      <c r="B670" t="s">
        <v>14</v>
      </c>
      <c r="C670" t="s">
        <v>11</v>
      </c>
      <c r="D670" t="s">
        <v>1</v>
      </c>
      <c r="E670" s="1">
        <v>1731</v>
      </c>
      <c r="F670" s="1">
        <v>7</v>
      </c>
      <c r="G670" s="1">
        <v>12117</v>
      </c>
      <c r="H670" s="1">
        <v>10420.619999999999</v>
      </c>
      <c r="I670" s="1">
        <v>1765.619999999999</v>
      </c>
      <c r="J670" t="s">
        <v>10</v>
      </c>
      <c r="K670">
        <v>2019</v>
      </c>
    </row>
    <row r="671" spans="1:11" x14ac:dyDescent="0.3">
      <c r="A671" t="s">
        <v>6</v>
      </c>
      <c r="B671" t="s">
        <v>9</v>
      </c>
      <c r="C671" t="s">
        <v>11</v>
      </c>
      <c r="D671" t="s">
        <v>1</v>
      </c>
      <c r="E671" s="1">
        <v>1727</v>
      </c>
      <c r="F671" s="1">
        <v>7</v>
      </c>
      <c r="G671" s="1">
        <v>12089</v>
      </c>
      <c r="H671" s="1">
        <v>10396.540000000001</v>
      </c>
      <c r="I671" s="1">
        <v>1761.5400000000009</v>
      </c>
      <c r="J671" t="s">
        <v>10</v>
      </c>
      <c r="K671">
        <v>2018</v>
      </c>
    </row>
    <row r="672" spans="1:11" x14ac:dyDescent="0.3">
      <c r="A672" t="s">
        <v>18</v>
      </c>
      <c r="B672" t="s">
        <v>9</v>
      </c>
      <c r="C672" t="s">
        <v>11</v>
      </c>
      <c r="D672" t="s">
        <v>1</v>
      </c>
      <c r="E672" s="1">
        <v>1870</v>
      </c>
      <c r="F672" s="1">
        <v>15</v>
      </c>
      <c r="G672" s="1">
        <v>28050</v>
      </c>
      <c r="H672" s="1">
        <v>24123</v>
      </c>
      <c r="I672" s="1">
        <v>5423</v>
      </c>
      <c r="J672" t="s">
        <v>16</v>
      </c>
      <c r="K672">
        <v>2018</v>
      </c>
    </row>
    <row r="673" spans="1:11" x14ac:dyDescent="0.3">
      <c r="A673" t="s">
        <v>17</v>
      </c>
      <c r="B673" t="s">
        <v>14</v>
      </c>
      <c r="C673" t="s">
        <v>23</v>
      </c>
      <c r="D673" t="s">
        <v>1</v>
      </c>
      <c r="E673" s="1">
        <v>1174</v>
      </c>
      <c r="F673" s="1">
        <v>125</v>
      </c>
      <c r="G673" s="1">
        <v>146750</v>
      </c>
      <c r="H673" s="1">
        <v>124737.5</v>
      </c>
      <c r="I673" s="1">
        <v>-16142.5</v>
      </c>
      <c r="J673" t="s">
        <v>22</v>
      </c>
      <c r="K673">
        <v>2019</v>
      </c>
    </row>
    <row r="674" spans="1:11" x14ac:dyDescent="0.3">
      <c r="A674" t="s">
        <v>17</v>
      </c>
      <c r="B674" t="s">
        <v>41</v>
      </c>
      <c r="C674" t="s">
        <v>23</v>
      </c>
      <c r="D674" t="s">
        <v>1</v>
      </c>
      <c r="E674" s="1">
        <v>2767</v>
      </c>
      <c r="F674" s="1">
        <v>125</v>
      </c>
      <c r="G674" s="1">
        <v>345875</v>
      </c>
      <c r="H674" s="1">
        <v>293993.75</v>
      </c>
      <c r="I674" s="1">
        <v>-38046.25</v>
      </c>
      <c r="J674" t="s">
        <v>22</v>
      </c>
      <c r="K674">
        <v>2019</v>
      </c>
    </row>
    <row r="675" spans="1:11" x14ac:dyDescent="0.3">
      <c r="A675" t="s">
        <v>17</v>
      </c>
      <c r="B675" t="s">
        <v>41</v>
      </c>
      <c r="C675" t="s">
        <v>23</v>
      </c>
      <c r="D675" t="s">
        <v>1</v>
      </c>
      <c r="E675" s="1">
        <v>1085</v>
      </c>
      <c r="F675" s="1">
        <v>125</v>
      </c>
      <c r="G675" s="1">
        <v>135625</v>
      </c>
      <c r="H675" s="1">
        <v>115281.25</v>
      </c>
      <c r="I675" s="1">
        <v>-14918.75</v>
      </c>
      <c r="J675" t="s">
        <v>10</v>
      </c>
      <c r="K675">
        <v>2019</v>
      </c>
    </row>
    <row r="676" spans="1:11" x14ac:dyDescent="0.3">
      <c r="A676" t="s">
        <v>12</v>
      </c>
      <c r="B676" t="s">
        <v>9</v>
      </c>
      <c r="C676" t="s">
        <v>8</v>
      </c>
      <c r="D676" t="s">
        <v>1</v>
      </c>
      <c r="E676" s="1">
        <v>546</v>
      </c>
      <c r="F676" s="1">
        <v>300</v>
      </c>
      <c r="G676" s="1">
        <v>163800</v>
      </c>
      <c r="H676" s="1">
        <v>139230</v>
      </c>
      <c r="I676" s="1">
        <v>2730</v>
      </c>
      <c r="J676" t="s">
        <v>10</v>
      </c>
      <c r="K676">
        <v>2019</v>
      </c>
    </row>
    <row r="677" spans="1:11" x14ac:dyDescent="0.3">
      <c r="A677" t="s">
        <v>6</v>
      </c>
      <c r="B677" t="s">
        <v>41</v>
      </c>
      <c r="C677" t="s">
        <v>5</v>
      </c>
      <c r="D677" t="s">
        <v>1</v>
      </c>
      <c r="E677" s="1">
        <v>1158</v>
      </c>
      <c r="F677" s="1">
        <v>20</v>
      </c>
      <c r="G677" s="1">
        <v>23160</v>
      </c>
      <c r="H677" s="1">
        <v>19686</v>
      </c>
      <c r="I677" s="1">
        <v>8106</v>
      </c>
      <c r="J677" t="s">
        <v>13</v>
      </c>
      <c r="K677">
        <v>2019</v>
      </c>
    </row>
    <row r="678" spans="1:11" x14ac:dyDescent="0.3">
      <c r="A678" t="s">
        <v>18</v>
      </c>
      <c r="B678" t="s">
        <v>40</v>
      </c>
      <c r="C678" t="s">
        <v>5</v>
      </c>
      <c r="D678" t="s">
        <v>1</v>
      </c>
      <c r="E678" s="1">
        <v>1614</v>
      </c>
      <c r="F678" s="1">
        <v>15</v>
      </c>
      <c r="G678" s="1">
        <v>24210</v>
      </c>
      <c r="H678" s="1">
        <v>20578.5</v>
      </c>
      <c r="I678" s="1">
        <v>4438.5</v>
      </c>
      <c r="J678" t="s">
        <v>4</v>
      </c>
      <c r="K678">
        <v>2019</v>
      </c>
    </row>
    <row r="679" spans="1:11" x14ac:dyDescent="0.3">
      <c r="A679" t="s">
        <v>6</v>
      </c>
      <c r="B679" t="s">
        <v>9</v>
      </c>
      <c r="C679" t="s">
        <v>5</v>
      </c>
      <c r="D679" t="s">
        <v>1</v>
      </c>
      <c r="E679" s="1">
        <v>2535</v>
      </c>
      <c r="F679" s="1">
        <v>7</v>
      </c>
      <c r="G679" s="1">
        <v>17745</v>
      </c>
      <c r="H679" s="1">
        <v>15083.25</v>
      </c>
      <c r="I679" s="1">
        <v>2408.25</v>
      </c>
      <c r="J679" t="s">
        <v>4</v>
      </c>
      <c r="K679">
        <v>2019</v>
      </c>
    </row>
    <row r="680" spans="1:11" x14ac:dyDescent="0.3">
      <c r="A680" t="s">
        <v>6</v>
      </c>
      <c r="B680" t="s">
        <v>9</v>
      </c>
      <c r="C680" t="s">
        <v>5</v>
      </c>
      <c r="D680" t="s">
        <v>1</v>
      </c>
      <c r="E680" s="1">
        <v>2851</v>
      </c>
      <c r="F680" s="1">
        <v>350</v>
      </c>
      <c r="G680" s="1">
        <v>997850</v>
      </c>
      <c r="H680" s="1">
        <v>848172.5</v>
      </c>
      <c r="I680" s="1">
        <v>106912.5</v>
      </c>
      <c r="J680" t="s">
        <v>0</v>
      </c>
      <c r="K680">
        <v>2019</v>
      </c>
    </row>
    <row r="681" spans="1:11" x14ac:dyDescent="0.3">
      <c r="A681" t="s">
        <v>18</v>
      </c>
      <c r="B681" t="s">
        <v>40</v>
      </c>
      <c r="C681" t="s">
        <v>5</v>
      </c>
      <c r="D681" t="s">
        <v>1</v>
      </c>
      <c r="E681" s="1">
        <v>2559</v>
      </c>
      <c r="F681" s="1">
        <v>15</v>
      </c>
      <c r="G681" s="1">
        <v>38385</v>
      </c>
      <c r="H681" s="1">
        <v>32627.25</v>
      </c>
      <c r="I681" s="1">
        <v>7037.25</v>
      </c>
      <c r="J681" t="s">
        <v>22</v>
      </c>
      <c r="K681">
        <v>2019</v>
      </c>
    </row>
    <row r="682" spans="1:11" x14ac:dyDescent="0.3">
      <c r="A682" t="s">
        <v>6</v>
      </c>
      <c r="B682" t="s">
        <v>42</v>
      </c>
      <c r="C682" t="s">
        <v>5</v>
      </c>
      <c r="D682" t="s">
        <v>1</v>
      </c>
      <c r="E682" s="1">
        <v>267</v>
      </c>
      <c r="F682" s="1">
        <v>20</v>
      </c>
      <c r="G682" s="1">
        <v>5340</v>
      </c>
      <c r="H682" s="1">
        <v>4539</v>
      </c>
      <c r="I682" s="1">
        <v>1869</v>
      </c>
      <c r="J682" t="s">
        <v>10</v>
      </c>
      <c r="K682">
        <v>2018</v>
      </c>
    </row>
    <row r="683" spans="1:11" x14ac:dyDescent="0.3">
      <c r="A683" t="s">
        <v>17</v>
      </c>
      <c r="B683" t="s">
        <v>41</v>
      </c>
      <c r="C683" t="s">
        <v>5</v>
      </c>
      <c r="D683" t="s">
        <v>1</v>
      </c>
      <c r="E683" s="1">
        <v>1085</v>
      </c>
      <c r="F683" s="1">
        <v>125</v>
      </c>
      <c r="G683" s="1">
        <v>135625</v>
      </c>
      <c r="H683" s="1">
        <v>115281.25</v>
      </c>
      <c r="I683" s="1">
        <v>-14918.75</v>
      </c>
      <c r="J683" t="s">
        <v>10</v>
      </c>
      <c r="K683">
        <v>2019</v>
      </c>
    </row>
    <row r="684" spans="1:11" x14ac:dyDescent="0.3">
      <c r="A684" t="s">
        <v>18</v>
      </c>
      <c r="B684" t="s">
        <v>41</v>
      </c>
      <c r="C684" t="s">
        <v>5</v>
      </c>
      <c r="D684" t="s">
        <v>1</v>
      </c>
      <c r="E684" s="1">
        <v>1175</v>
      </c>
      <c r="F684" s="1">
        <v>15</v>
      </c>
      <c r="G684" s="1">
        <v>17625</v>
      </c>
      <c r="H684" s="1">
        <v>14981.25</v>
      </c>
      <c r="I684" s="1">
        <v>3231.25</v>
      </c>
      <c r="J684" t="s">
        <v>10</v>
      </c>
      <c r="K684">
        <v>2019</v>
      </c>
    </row>
    <row r="685" spans="1:11" x14ac:dyDescent="0.3">
      <c r="A685" t="s">
        <v>6</v>
      </c>
      <c r="B685" t="s">
        <v>42</v>
      </c>
      <c r="C685" t="s">
        <v>5</v>
      </c>
      <c r="D685" t="s">
        <v>1</v>
      </c>
      <c r="E685" s="1">
        <v>2007</v>
      </c>
      <c r="F685" s="1">
        <v>350</v>
      </c>
      <c r="G685" s="1">
        <v>702450</v>
      </c>
      <c r="H685" s="1">
        <v>597082.5</v>
      </c>
      <c r="I685" s="1">
        <v>75262.5</v>
      </c>
      <c r="J685" t="s">
        <v>16</v>
      </c>
      <c r="K685">
        <v>2018</v>
      </c>
    </row>
    <row r="686" spans="1:11" x14ac:dyDescent="0.3">
      <c r="A686" t="s">
        <v>6</v>
      </c>
      <c r="B686" t="s">
        <v>9</v>
      </c>
      <c r="C686" t="s">
        <v>5</v>
      </c>
      <c r="D686" t="s">
        <v>1</v>
      </c>
      <c r="E686" s="1">
        <v>2151</v>
      </c>
      <c r="F686" s="1">
        <v>350</v>
      </c>
      <c r="G686" s="1">
        <v>752850</v>
      </c>
      <c r="H686" s="1">
        <v>639922.5</v>
      </c>
      <c r="I686" s="1">
        <v>80662.5</v>
      </c>
      <c r="J686" t="s">
        <v>16</v>
      </c>
      <c r="K686">
        <v>2018</v>
      </c>
    </row>
    <row r="687" spans="1:11" x14ac:dyDescent="0.3">
      <c r="A687" t="s">
        <v>3</v>
      </c>
      <c r="B687" t="s">
        <v>42</v>
      </c>
      <c r="C687" t="s">
        <v>5</v>
      </c>
      <c r="D687" t="s">
        <v>1</v>
      </c>
      <c r="E687" s="1">
        <v>914</v>
      </c>
      <c r="F687" s="1">
        <v>12</v>
      </c>
      <c r="G687" s="1">
        <v>10968</v>
      </c>
      <c r="H687" s="1">
        <v>9322.7999999999993</v>
      </c>
      <c r="I687" s="1">
        <v>6580.7999999999993</v>
      </c>
      <c r="J687" t="s">
        <v>15</v>
      </c>
      <c r="K687">
        <v>2019</v>
      </c>
    </row>
    <row r="688" spans="1:11" x14ac:dyDescent="0.3">
      <c r="A688" t="s">
        <v>6</v>
      </c>
      <c r="B688" t="s">
        <v>14</v>
      </c>
      <c r="C688" t="s">
        <v>5</v>
      </c>
      <c r="D688" t="s">
        <v>1</v>
      </c>
      <c r="E688" s="1">
        <v>293</v>
      </c>
      <c r="F688" s="1">
        <v>20</v>
      </c>
      <c r="G688" s="1">
        <v>5860</v>
      </c>
      <c r="H688" s="1">
        <v>4981</v>
      </c>
      <c r="I688" s="1">
        <v>2051</v>
      </c>
      <c r="J688" t="s">
        <v>15</v>
      </c>
      <c r="K688">
        <v>2019</v>
      </c>
    </row>
    <row r="689" spans="1:11" x14ac:dyDescent="0.3">
      <c r="A689" t="s">
        <v>3</v>
      </c>
      <c r="B689" t="s">
        <v>9</v>
      </c>
      <c r="C689" t="s">
        <v>20</v>
      </c>
      <c r="D689" t="s">
        <v>1</v>
      </c>
      <c r="E689" s="1">
        <v>500</v>
      </c>
      <c r="F689" s="1">
        <v>12</v>
      </c>
      <c r="G689" s="1">
        <v>6000</v>
      </c>
      <c r="H689" s="1">
        <v>5100</v>
      </c>
      <c r="I689" s="1">
        <v>3600</v>
      </c>
      <c r="J689" t="s">
        <v>13</v>
      </c>
      <c r="K689">
        <v>2019</v>
      </c>
    </row>
    <row r="690" spans="1:11" x14ac:dyDescent="0.3">
      <c r="A690" t="s">
        <v>18</v>
      </c>
      <c r="B690" t="s">
        <v>14</v>
      </c>
      <c r="C690" t="s">
        <v>20</v>
      </c>
      <c r="D690" t="s">
        <v>1</v>
      </c>
      <c r="E690" s="1">
        <v>2826</v>
      </c>
      <c r="F690" s="1">
        <v>15</v>
      </c>
      <c r="G690" s="1">
        <v>42390</v>
      </c>
      <c r="H690" s="1">
        <v>36031.5</v>
      </c>
      <c r="I690" s="1">
        <v>7771.5</v>
      </c>
      <c r="J690" t="s">
        <v>0</v>
      </c>
      <c r="K690">
        <v>2019</v>
      </c>
    </row>
    <row r="691" spans="1:11" x14ac:dyDescent="0.3">
      <c r="A691" t="s">
        <v>17</v>
      </c>
      <c r="B691" t="s">
        <v>14</v>
      </c>
      <c r="C691" t="s">
        <v>20</v>
      </c>
      <c r="D691" t="s">
        <v>1</v>
      </c>
      <c r="E691" s="1">
        <v>663</v>
      </c>
      <c r="F691" s="1">
        <v>125</v>
      </c>
      <c r="G691" s="1">
        <v>82875</v>
      </c>
      <c r="H691" s="1">
        <v>70443.75</v>
      </c>
      <c r="I691" s="1">
        <v>-9116.25</v>
      </c>
      <c r="J691" t="s">
        <v>21</v>
      </c>
      <c r="K691">
        <v>2019</v>
      </c>
    </row>
    <row r="692" spans="1:11" x14ac:dyDescent="0.3">
      <c r="A692" t="s">
        <v>12</v>
      </c>
      <c r="B692" t="s">
        <v>42</v>
      </c>
      <c r="C692" t="s">
        <v>20</v>
      </c>
      <c r="D692" t="s">
        <v>1</v>
      </c>
      <c r="E692" s="1">
        <v>2574</v>
      </c>
      <c r="F692" s="1">
        <v>300</v>
      </c>
      <c r="G692" s="1">
        <v>772200</v>
      </c>
      <c r="H692" s="1">
        <v>656370</v>
      </c>
      <c r="I692" s="1">
        <v>12870</v>
      </c>
      <c r="J692" t="s">
        <v>16</v>
      </c>
      <c r="K692">
        <v>2018</v>
      </c>
    </row>
    <row r="693" spans="1:11" x14ac:dyDescent="0.3">
      <c r="A693" t="s">
        <v>17</v>
      </c>
      <c r="B693" t="s">
        <v>42</v>
      </c>
      <c r="C693" t="s">
        <v>20</v>
      </c>
      <c r="D693" t="s">
        <v>1</v>
      </c>
      <c r="E693" s="1">
        <v>2438</v>
      </c>
      <c r="F693" s="1">
        <v>125</v>
      </c>
      <c r="G693" s="1">
        <v>304750</v>
      </c>
      <c r="H693" s="1">
        <v>259037.5</v>
      </c>
      <c r="I693" s="1">
        <v>-33522.5</v>
      </c>
      <c r="J693" t="s">
        <v>15</v>
      </c>
      <c r="K693">
        <v>2018</v>
      </c>
    </row>
    <row r="694" spans="1:11" x14ac:dyDescent="0.3">
      <c r="A694" t="s">
        <v>3</v>
      </c>
      <c r="B694" t="s">
        <v>42</v>
      </c>
      <c r="C694" t="s">
        <v>20</v>
      </c>
      <c r="D694" t="s">
        <v>1</v>
      </c>
      <c r="E694" s="1">
        <v>914</v>
      </c>
      <c r="F694" s="1">
        <v>12</v>
      </c>
      <c r="G694" s="1">
        <v>10968</v>
      </c>
      <c r="H694" s="1">
        <v>9322.7999999999993</v>
      </c>
      <c r="I694" s="1">
        <v>6580.7999999999993</v>
      </c>
      <c r="J694" t="s">
        <v>15</v>
      </c>
      <c r="K694">
        <v>2019</v>
      </c>
    </row>
    <row r="695" spans="1:11" x14ac:dyDescent="0.3">
      <c r="A695" t="s">
        <v>6</v>
      </c>
      <c r="B695" t="s">
        <v>40</v>
      </c>
      <c r="C695" t="s">
        <v>2</v>
      </c>
      <c r="D695" t="s">
        <v>1</v>
      </c>
      <c r="E695" s="1">
        <v>865.5</v>
      </c>
      <c r="F695" s="1">
        <v>20</v>
      </c>
      <c r="G695" s="1">
        <v>17310</v>
      </c>
      <c r="H695" s="1">
        <v>14713.5</v>
      </c>
      <c r="I695" s="1">
        <v>6058.5</v>
      </c>
      <c r="J695" t="s">
        <v>19</v>
      </c>
      <c r="K695">
        <v>2019</v>
      </c>
    </row>
    <row r="696" spans="1:11" x14ac:dyDescent="0.3">
      <c r="A696" t="s">
        <v>18</v>
      </c>
      <c r="B696" t="s">
        <v>41</v>
      </c>
      <c r="C696" t="s">
        <v>2</v>
      </c>
      <c r="D696" t="s">
        <v>1</v>
      </c>
      <c r="E696" s="1">
        <v>492</v>
      </c>
      <c r="F696" s="1">
        <v>15</v>
      </c>
      <c r="G696" s="1">
        <v>7380</v>
      </c>
      <c r="H696" s="1">
        <v>6273</v>
      </c>
      <c r="I696" s="1">
        <v>1353</v>
      </c>
      <c r="J696" t="s">
        <v>19</v>
      </c>
      <c r="K696">
        <v>2019</v>
      </c>
    </row>
    <row r="697" spans="1:11" x14ac:dyDescent="0.3">
      <c r="A697" t="s">
        <v>6</v>
      </c>
      <c r="B697" t="s">
        <v>42</v>
      </c>
      <c r="C697" t="s">
        <v>2</v>
      </c>
      <c r="D697" t="s">
        <v>1</v>
      </c>
      <c r="E697" s="1">
        <v>267</v>
      </c>
      <c r="F697" s="1">
        <v>20</v>
      </c>
      <c r="G697" s="1">
        <v>5340</v>
      </c>
      <c r="H697" s="1">
        <v>4539</v>
      </c>
      <c r="I697" s="1">
        <v>1869</v>
      </c>
      <c r="J697" t="s">
        <v>10</v>
      </c>
      <c r="K697">
        <v>2018</v>
      </c>
    </row>
    <row r="698" spans="1:11" x14ac:dyDescent="0.3">
      <c r="A698" t="s">
        <v>18</v>
      </c>
      <c r="B698" t="s">
        <v>41</v>
      </c>
      <c r="C698" t="s">
        <v>2</v>
      </c>
      <c r="D698" t="s">
        <v>1</v>
      </c>
      <c r="E698" s="1">
        <v>1175</v>
      </c>
      <c r="F698" s="1">
        <v>15</v>
      </c>
      <c r="G698" s="1">
        <v>17625</v>
      </c>
      <c r="H698" s="1">
        <v>14981.25</v>
      </c>
      <c r="I698" s="1">
        <v>3231.25</v>
      </c>
      <c r="J698" t="s">
        <v>10</v>
      </c>
      <c r="K698">
        <v>2019</v>
      </c>
    </row>
    <row r="699" spans="1:11" x14ac:dyDescent="0.3">
      <c r="A699" t="s">
        <v>17</v>
      </c>
      <c r="B699" t="s">
        <v>40</v>
      </c>
      <c r="C699" t="s">
        <v>2</v>
      </c>
      <c r="D699" t="s">
        <v>1</v>
      </c>
      <c r="E699" s="1">
        <v>2954</v>
      </c>
      <c r="F699" s="1">
        <v>125</v>
      </c>
      <c r="G699" s="1">
        <v>369250</v>
      </c>
      <c r="H699" s="1">
        <v>313862.5</v>
      </c>
      <c r="I699" s="1">
        <v>-40617.5</v>
      </c>
      <c r="J699" t="s">
        <v>16</v>
      </c>
      <c r="K699">
        <v>2018</v>
      </c>
    </row>
    <row r="700" spans="1:11" x14ac:dyDescent="0.3">
      <c r="A700" t="s">
        <v>17</v>
      </c>
      <c r="B700" t="s">
        <v>41</v>
      </c>
      <c r="C700" t="s">
        <v>2</v>
      </c>
      <c r="D700" t="s">
        <v>1</v>
      </c>
      <c r="E700" s="1">
        <v>552</v>
      </c>
      <c r="F700" s="1">
        <v>125</v>
      </c>
      <c r="G700" s="1">
        <v>69000</v>
      </c>
      <c r="H700" s="1">
        <v>58650</v>
      </c>
      <c r="I700" s="1">
        <v>-7590</v>
      </c>
      <c r="J700" t="s">
        <v>16</v>
      </c>
      <c r="K700">
        <v>2019</v>
      </c>
    </row>
    <row r="701" spans="1:11" x14ac:dyDescent="0.3">
      <c r="A701" t="s">
        <v>6</v>
      </c>
      <c r="B701" t="s">
        <v>14</v>
      </c>
      <c r="C701" t="s">
        <v>2</v>
      </c>
      <c r="D701" t="s">
        <v>1</v>
      </c>
      <c r="E701" s="1">
        <v>293</v>
      </c>
      <c r="F701" s="1">
        <v>20</v>
      </c>
      <c r="G701" s="1">
        <v>5860</v>
      </c>
      <c r="H701" s="1">
        <v>4981</v>
      </c>
      <c r="I701" s="1">
        <v>2051</v>
      </c>
      <c r="J701" t="s">
        <v>15</v>
      </c>
      <c r="K701">
        <v>2019</v>
      </c>
    </row>
    <row r="702" spans="1:11" x14ac:dyDescent="0.3">
      <c r="A702" t="s">
        <v>12</v>
      </c>
      <c r="B702" t="s">
        <v>14</v>
      </c>
      <c r="C702" t="s">
        <v>11</v>
      </c>
      <c r="D702" t="s">
        <v>1</v>
      </c>
      <c r="E702" s="1">
        <v>2475</v>
      </c>
      <c r="F702" s="1">
        <v>300</v>
      </c>
      <c r="G702" s="1">
        <v>742500</v>
      </c>
      <c r="H702" s="1">
        <v>631125</v>
      </c>
      <c r="I702" s="1">
        <v>12375</v>
      </c>
      <c r="J702" t="s">
        <v>13</v>
      </c>
      <c r="K702">
        <v>2019</v>
      </c>
    </row>
    <row r="703" spans="1:11" x14ac:dyDescent="0.3">
      <c r="A703" t="s">
        <v>12</v>
      </c>
      <c r="B703" t="s">
        <v>9</v>
      </c>
      <c r="C703" t="s">
        <v>11</v>
      </c>
      <c r="D703" t="s">
        <v>1</v>
      </c>
      <c r="E703" s="1">
        <v>546</v>
      </c>
      <c r="F703" s="1">
        <v>300</v>
      </c>
      <c r="G703" s="1">
        <v>163800</v>
      </c>
      <c r="H703" s="1">
        <v>139230</v>
      </c>
      <c r="I703" s="1">
        <v>2730</v>
      </c>
      <c r="J703" t="s">
        <v>10</v>
      </c>
      <c r="K703">
        <v>2019</v>
      </c>
    </row>
    <row r="704" spans="1:11" x14ac:dyDescent="0.3">
      <c r="A704" t="s">
        <v>6</v>
      </c>
      <c r="B704" t="s">
        <v>9</v>
      </c>
      <c r="C704" t="s">
        <v>8</v>
      </c>
      <c r="D704" t="s">
        <v>1</v>
      </c>
      <c r="E704" s="1">
        <v>1368</v>
      </c>
      <c r="F704" s="1">
        <v>7</v>
      </c>
      <c r="G704" s="1">
        <v>9576</v>
      </c>
      <c r="H704" s="1">
        <v>8139.6</v>
      </c>
      <c r="I704" s="1">
        <v>1299.6000000000004</v>
      </c>
      <c r="J704" t="s">
        <v>7</v>
      </c>
      <c r="K704">
        <v>2019</v>
      </c>
    </row>
    <row r="705" spans="1:11" x14ac:dyDescent="0.3">
      <c r="A705" t="s">
        <v>6</v>
      </c>
      <c r="B705" t="s">
        <v>40</v>
      </c>
      <c r="C705" t="s">
        <v>5</v>
      </c>
      <c r="D705" t="s">
        <v>1</v>
      </c>
      <c r="E705" s="1">
        <v>723</v>
      </c>
      <c r="F705" s="1">
        <v>7</v>
      </c>
      <c r="G705" s="1">
        <v>5061</v>
      </c>
      <c r="H705" s="1">
        <v>4301.8500000000004</v>
      </c>
      <c r="I705" s="1">
        <v>686.85000000000014</v>
      </c>
      <c r="J705" t="s">
        <v>4</v>
      </c>
      <c r="K705">
        <v>2019</v>
      </c>
    </row>
    <row r="706" spans="1:11" x14ac:dyDescent="0.3">
      <c r="A706" t="s">
        <v>3</v>
      </c>
      <c r="B706" t="s">
        <v>42</v>
      </c>
      <c r="C706" t="s">
        <v>2</v>
      </c>
      <c r="D706" t="s">
        <v>1</v>
      </c>
      <c r="E706" s="1">
        <v>1806</v>
      </c>
      <c r="F706" s="1">
        <v>12</v>
      </c>
      <c r="G706" s="1">
        <v>21672</v>
      </c>
      <c r="H706" s="1">
        <v>18421.2</v>
      </c>
      <c r="I706" s="1">
        <v>13003.2</v>
      </c>
      <c r="J706" t="s">
        <v>0</v>
      </c>
      <c r="K706"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5C2D-19BE-4D2F-A81C-A4117EE3CA2C}">
  <dimension ref="B2:E6"/>
  <sheetViews>
    <sheetView zoomScale="175" zoomScaleNormal="175" workbookViewId="0">
      <selection activeCell="B6" sqref="B6:D6"/>
    </sheetView>
  </sheetViews>
  <sheetFormatPr defaultRowHeight="14.4" x14ac:dyDescent="0.3"/>
  <sheetData>
    <row r="2" spans="2:5" x14ac:dyDescent="0.3">
      <c r="B2" t="s">
        <v>44</v>
      </c>
      <c r="C2" t="s">
        <v>45</v>
      </c>
      <c r="D2" t="s">
        <v>47</v>
      </c>
    </row>
    <row r="3" spans="2:5" x14ac:dyDescent="0.3">
      <c r="B3" t="s">
        <v>46</v>
      </c>
      <c r="C3" t="s">
        <v>50</v>
      </c>
      <c r="D3">
        <v>1</v>
      </c>
      <c r="E3" t="e" cm="1">
        <f t="array" ref="E3">+ A or D</f>
        <v>#NAME?</v>
      </c>
    </row>
    <row r="4" spans="2:5" x14ac:dyDescent="0.3">
      <c r="B4" t="s">
        <v>46</v>
      </c>
      <c r="C4" t="s">
        <v>48</v>
      </c>
      <c r="D4">
        <v>2</v>
      </c>
    </row>
    <row r="5" spans="2:5" x14ac:dyDescent="0.3">
      <c r="B5" t="s">
        <v>49</v>
      </c>
      <c r="C5" t="s">
        <v>48</v>
      </c>
      <c r="D5">
        <v>3</v>
      </c>
    </row>
    <row r="6" spans="2:5" x14ac:dyDescent="0.3">
      <c r="B6" t="s">
        <v>49</v>
      </c>
      <c r="C6" t="s">
        <v>50</v>
      </c>
      <c r="D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Sheet2</vt:lpstr>
      <vt:lpstr>Table1</vt:lpstr>
      <vt:lpstr>Data 1</vt:lpstr>
      <vt:lpstr>Data 2</vt:lpstr>
      <vt:lpstr>Sheet1</vt:lpstr>
      <vt:lpstr>'Data 2'!Discount_Band</vt:lpstr>
      <vt:lpstr>Discount_Band</vt:lpstr>
      <vt:lpstr>'Data 2'!Gross_Sales</vt:lpstr>
      <vt:lpstr>Gross_Sales</vt:lpstr>
      <vt:lpstr>'Data 2'!Month_Name</vt:lpstr>
      <vt:lpstr>Month_Name</vt:lpstr>
      <vt:lpstr>'Data 2'!Product</vt:lpstr>
      <vt:lpstr>Product</vt:lpstr>
      <vt:lpstr>'Data 2'!Profit</vt:lpstr>
      <vt:lpstr>Profit</vt:lpstr>
      <vt:lpstr>'Data 2'!Sale_Price</vt:lpstr>
      <vt:lpstr>Sale_Price</vt:lpstr>
      <vt:lpstr>'Data 2'!Sales</vt:lpstr>
      <vt:lpstr>Sales</vt:lpstr>
      <vt:lpstr>'Data 2'!Segment</vt:lpstr>
      <vt:lpstr>Segment</vt:lpstr>
      <vt:lpstr>'Data 2'!Units_Sold</vt:lpstr>
      <vt:lpstr>Units_Sold</vt:lpstr>
      <vt:lpstr>'Data 2'!Year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Tafshir Kabir Khan</cp:lastModifiedBy>
  <dcterms:created xsi:type="dcterms:W3CDTF">2021-03-23T15:16:10Z</dcterms:created>
  <dcterms:modified xsi:type="dcterms:W3CDTF">2024-09-16T18:36:16Z</dcterms:modified>
</cp:coreProperties>
</file>